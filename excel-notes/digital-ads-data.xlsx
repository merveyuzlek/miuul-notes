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erve\OneDrive\Desktop\Miuul Ödevler\"/>
    </mc:Choice>
  </mc:AlternateContent>
  <xr:revisionPtr revIDLastSave="0" documentId="13_ncr:1_{F96B670A-8B2D-4A15-A232-521DCDDA5564}" xr6:coauthVersionLast="47" xr6:coauthVersionMax="47" xr10:uidLastSave="{00000000-0000-0000-0000-000000000000}"/>
  <bookViews>
    <workbookView xWindow="4440" yWindow="0" windowWidth="13500" windowHeight="12645" firstSheet="1" activeTab="5" xr2:uid="{00000000-000D-0000-FFFF-FFFF00000000}"/>
  </bookViews>
  <sheets>
    <sheet name="missing values" sheetId="1" r:id="rId1"/>
    <sheet name="Sheet1" sheetId="4" r:id="rId2"/>
    <sheet name="outlliers" sheetId="5" r:id="rId3"/>
    <sheet name="ÖDEV" sheetId="7" r:id="rId4"/>
    <sheet name="REGRESSION" sheetId="8" r:id="rId5"/>
    <sheet name="CLTV" sheetId="3" r:id="rId6"/>
  </sheets>
  <definedNames>
    <definedName name="_xlnm._FilterDatabase" localSheetId="0" hidden="1">'missing values'!$A$11:$G$11</definedName>
    <definedName name="_xlnm._FilterDatabase" localSheetId="3" hidden="1">ÖDEV!$A$1:$B$201</definedName>
    <definedName name="_xlnm._FilterDatabase" localSheetId="2" hidden="1">outlliers!$A$11:$G$211</definedName>
    <definedName name="_xlnm._FilterDatabase" localSheetId="1" hidden="1">Sheet1!$E$1:$G$1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5" i="3"/>
  <c r="B15" i="3"/>
  <c r="B13" i="3"/>
  <c r="B12" i="3"/>
  <c r="C3" i="3"/>
  <c r="C4" i="3"/>
  <c r="C5" i="3"/>
  <c r="C2" i="3"/>
  <c r="B11" i="3"/>
  <c r="D33" i="8"/>
  <c r="B200" i="7"/>
  <c r="B199" i="7" s="1"/>
  <c r="B198" i="7" s="1"/>
  <c r="B197" i="7" s="1"/>
  <c r="B196" i="7" s="1"/>
  <c r="B195" i="7" s="1"/>
  <c r="B194" i="7" s="1"/>
  <c r="B193" i="7" s="1"/>
  <c r="B192" i="7" s="1"/>
  <c r="B191" i="7" s="1"/>
  <c r="B190" i="7" s="1"/>
  <c r="B189" i="7" s="1"/>
  <c r="B188" i="7" s="1"/>
  <c r="B187" i="7" s="1"/>
  <c r="B186" i="7" s="1"/>
  <c r="B185" i="7" s="1"/>
  <c r="B184" i="7" s="1"/>
  <c r="B183" i="7" s="1"/>
  <c r="B182" i="7" s="1"/>
  <c r="B181" i="7" s="1"/>
  <c r="B180" i="7" s="1"/>
  <c r="B179" i="7" s="1"/>
  <c r="B178" i="7" s="1"/>
  <c r="B177" i="7" s="1"/>
  <c r="B176" i="7" s="1"/>
  <c r="B175" i="7" s="1"/>
  <c r="B174" i="7" s="1"/>
  <c r="B173" i="7" s="1"/>
  <c r="B172" i="7" s="1"/>
  <c r="B171" i="7" s="1"/>
  <c r="B170" i="7" s="1"/>
  <c r="B169" i="7" s="1"/>
  <c r="B168" i="7" s="1"/>
  <c r="B167" i="7" s="1"/>
  <c r="B166" i="7" s="1"/>
  <c r="B165" i="7" s="1"/>
  <c r="B164" i="7" s="1"/>
  <c r="B163" i="7" s="1"/>
  <c r="B162" i="7" s="1"/>
  <c r="B161" i="7" s="1"/>
  <c r="B160" i="7" s="1"/>
  <c r="B159" i="7" s="1"/>
  <c r="B158" i="7" s="1"/>
  <c r="B157" i="7" s="1"/>
  <c r="B156" i="7" s="1"/>
  <c r="B155" i="7" s="1"/>
  <c r="B154" i="7" s="1"/>
  <c r="B153" i="7" s="1"/>
  <c r="B152" i="7" s="1"/>
  <c r="B151" i="7" s="1"/>
  <c r="B150" i="7" s="1"/>
  <c r="B149" i="7" s="1"/>
  <c r="B148" i="7" s="1"/>
  <c r="B147" i="7" s="1"/>
  <c r="B146" i="7" s="1"/>
  <c r="B145" i="7" s="1"/>
  <c r="B144" i="7" s="1"/>
  <c r="B143" i="7" s="1"/>
  <c r="B142" i="7" s="1"/>
  <c r="B141" i="7" s="1"/>
  <c r="B140" i="7" s="1"/>
  <c r="B139" i="7" s="1"/>
  <c r="B138" i="7" s="1"/>
  <c r="B137" i="7" s="1"/>
  <c r="B136" i="7" s="1"/>
  <c r="B135" i="7" s="1"/>
  <c r="B134" i="7" s="1"/>
  <c r="B133" i="7" s="1"/>
  <c r="B132" i="7" s="1"/>
  <c r="B131" i="7" s="1"/>
  <c r="B130" i="7" s="1"/>
  <c r="B129" i="7" s="1"/>
  <c r="B128" i="7" s="1"/>
  <c r="B127" i="7" s="1"/>
  <c r="B126" i="7" s="1"/>
  <c r="B125" i="7" s="1"/>
  <c r="B124" i="7" s="1"/>
  <c r="B123" i="7" s="1"/>
  <c r="B122" i="7" s="1"/>
  <c r="B121" i="7" s="1"/>
  <c r="B120" i="7" s="1"/>
  <c r="B119" i="7" s="1"/>
  <c r="B118" i="7" s="1"/>
  <c r="B117" i="7" s="1"/>
  <c r="B116" i="7" s="1"/>
  <c r="B115" i="7" s="1"/>
  <c r="B114" i="7" s="1"/>
  <c r="B113" i="7" s="1"/>
  <c r="B112" i="7" s="1"/>
  <c r="B111" i="7" s="1"/>
  <c r="B110" i="7" s="1"/>
  <c r="B109" i="7" s="1"/>
  <c r="B108" i="7" s="1"/>
  <c r="B107" i="7" s="1"/>
  <c r="B106" i="7" s="1"/>
  <c r="B105" i="7" s="1"/>
  <c r="B104" i="7" s="1"/>
  <c r="B103" i="7" s="1"/>
  <c r="B102" i="7" s="1"/>
  <c r="B101" i="7" s="1"/>
  <c r="B100" i="7" s="1"/>
  <c r="B99" i="7" s="1"/>
  <c r="B98" i="7" s="1"/>
  <c r="B97" i="7" s="1"/>
  <c r="B96" i="7" s="1"/>
  <c r="B95" i="7" s="1"/>
  <c r="B94" i="7" s="1"/>
  <c r="B93" i="7" s="1"/>
  <c r="B92" i="7" s="1"/>
  <c r="B91" i="7" s="1"/>
  <c r="B90" i="7" s="1"/>
  <c r="B89" i="7" s="1"/>
  <c r="B88" i="7" s="1"/>
  <c r="B87" i="7" s="1"/>
  <c r="B86" i="7" s="1"/>
  <c r="B85" i="7" s="1"/>
  <c r="B84" i="7" s="1"/>
  <c r="B83" i="7" s="1"/>
  <c r="B82" i="7" s="1"/>
  <c r="B81" i="7" s="1"/>
  <c r="B80" i="7" s="1"/>
  <c r="B79" i="7" s="1"/>
  <c r="B78" i="7" s="1"/>
  <c r="B77" i="7" s="1"/>
  <c r="B76" i="7" s="1"/>
  <c r="B75" i="7" s="1"/>
  <c r="B74" i="7" s="1"/>
  <c r="B73" i="7" s="1"/>
  <c r="B72" i="7" s="1"/>
  <c r="B71" i="7" s="1"/>
  <c r="B70" i="7" s="1"/>
  <c r="B69" i="7" s="1"/>
  <c r="B68" i="7" s="1"/>
  <c r="B67" i="7" s="1"/>
  <c r="B66" i="7" s="1"/>
  <c r="B65" i="7" s="1"/>
  <c r="B64" i="7" s="1"/>
  <c r="B63" i="7" s="1"/>
  <c r="B62" i="7" s="1"/>
  <c r="B61" i="7" s="1"/>
  <c r="B60" i="7" s="1"/>
  <c r="B59" i="7" s="1"/>
  <c r="B58" i="7" s="1"/>
  <c r="B57" i="7" s="1"/>
  <c r="B56" i="7" s="1"/>
  <c r="B55" i="7" s="1"/>
  <c r="B54" i="7" s="1"/>
  <c r="B53" i="7" s="1"/>
  <c r="B52" i="7" s="1"/>
  <c r="B51" i="7" s="1"/>
  <c r="B50" i="7" s="1"/>
  <c r="B49" i="7" s="1"/>
  <c r="B48" i="7" s="1"/>
  <c r="B47" i="7" s="1"/>
  <c r="B46" i="7" s="1"/>
  <c r="B45" i="7" s="1"/>
  <c r="B44" i="7" s="1"/>
  <c r="B43" i="7" s="1"/>
  <c r="B42" i="7" s="1"/>
  <c r="B41" i="7" s="1"/>
  <c r="B40" i="7" s="1"/>
  <c r="B39" i="7" s="1"/>
  <c r="B38" i="7" s="1"/>
  <c r="B37" i="7" s="1"/>
  <c r="B36" i="7" s="1"/>
  <c r="B35" i="7" s="1"/>
  <c r="B34" i="7" s="1"/>
  <c r="B33" i="7" s="1"/>
  <c r="B32" i="7" s="1"/>
  <c r="B31" i="7" s="1"/>
  <c r="B30" i="7" s="1"/>
  <c r="B29" i="7" s="1"/>
  <c r="B28" i="7" s="1"/>
  <c r="B27" i="7" s="1"/>
  <c r="B26" i="7" s="1"/>
  <c r="B25" i="7" s="1"/>
  <c r="B24" i="7" s="1"/>
  <c r="B23" i="7" s="1"/>
  <c r="B22" i="7" s="1"/>
  <c r="B21" i="7" s="1"/>
  <c r="B20" i="7" s="1"/>
  <c r="B19" i="7" s="1"/>
  <c r="B18" i="7" s="1"/>
  <c r="B17" i="7" s="1"/>
  <c r="B16" i="7" s="1"/>
  <c r="B15" i="7" s="1"/>
  <c r="B14" i="7" s="1"/>
  <c r="B13" i="7" s="1"/>
  <c r="B12" i="7" s="1"/>
  <c r="B11" i="7" s="1"/>
  <c r="B10" i="7" s="1"/>
  <c r="B9" i="7" s="1"/>
  <c r="B8" i="7" s="1"/>
  <c r="B7" i="7" s="1"/>
  <c r="B6" i="7" s="1"/>
  <c r="B5" i="7" s="1"/>
  <c r="B4" i="7" s="1"/>
  <c r="B3" i="7" s="1"/>
  <c r="B2" i="7" s="1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12" i="5"/>
  <c r="D5" i="5"/>
  <c r="E5" i="5"/>
  <c r="F5" i="5"/>
  <c r="G5" i="5"/>
  <c r="C5" i="5"/>
  <c r="D6" i="5"/>
  <c r="E6" i="5"/>
  <c r="F6" i="5"/>
  <c r="G6" i="5"/>
  <c r="C6" i="5"/>
  <c r="H6" i="1"/>
  <c r="I6" i="1"/>
  <c r="J6" i="1"/>
  <c r="K6" i="1"/>
  <c r="L6" i="1"/>
  <c r="H7" i="1"/>
  <c r="I7" i="1"/>
  <c r="J7" i="1"/>
  <c r="K7" i="1"/>
  <c r="L7" i="1"/>
  <c r="H9" i="1"/>
  <c r="I9" i="1"/>
  <c r="J9" i="1"/>
  <c r="K9" i="1"/>
  <c r="L9" i="1"/>
  <c r="H8" i="1"/>
  <c r="I8" i="1"/>
  <c r="J8" i="1"/>
  <c r="K8" i="1"/>
  <c r="L8" i="1"/>
  <c r="J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12" i="1"/>
  <c r="H161" i="4"/>
  <c r="H134" i="4"/>
  <c r="H76" i="4"/>
  <c r="H21" i="4"/>
  <c r="D1" i="1"/>
  <c r="E1" i="1"/>
  <c r="F1" i="1"/>
  <c r="G1" i="1"/>
  <c r="C1" i="1"/>
  <c r="D2" i="1"/>
  <c r="E2" i="1"/>
  <c r="F2" i="1"/>
  <c r="G2" i="1"/>
  <c r="C2" i="1"/>
  <c r="F3" i="1"/>
  <c r="D3" i="1"/>
  <c r="E3" i="1"/>
  <c r="G3" i="1"/>
  <c r="C3" i="1"/>
  <c r="D4" i="1"/>
  <c r="E4" i="1"/>
  <c r="F4" i="1"/>
  <c r="G4" i="1"/>
  <c r="C4" i="1"/>
  <c r="C5" i="1"/>
  <c r="C163" i="4"/>
  <c r="C49" i="4"/>
  <c r="D5" i="1"/>
  <c r="E5" i="1"/>
  <c r="F5" i="1"/>
  <c r="G5" i="1"/>
  <c r="G7" i="1"/>
  <c r="G6" i="1" s="1"/>
  <c r="D7" i="1"/>
  <c r="E7" i="1"/>
  <c r="E6" i="1" s="1"/>
  <c r="F7" i="1"/>
  <c r="F6" i="1" s="1"/>
  <c r="C7" i="1"/>
  <c r="C6" i="1" s="1"/>
  <c r="C8" i="1"/>
  <c r="D8" i="1"/>
  <c r="E8" i="1"/>
  <c r="F8" i="1"/>
  <c r="G8" i="1"/>
  <c r="D9" i="1"/>
  <c r="E9" i="1"/>
  <c r="F9" i="1"/>
  <c r="G9" i="1"/>
  <c r="C9" i="1"/>
  <c r="C10" i="1"/>
  <c r="G10" i="1"/>
  <c r="F10" i="1"/>
  <c r="E10" i="1"/>
  <c r="D10" i="1"/>
  <c r="B210" i="1"/>
  <c r="B209" i="1" s="1"/>
  <c r="B208" i="1" s="1"/>
  <c r="B207" i="1" s="1"/>
  <c r="B206" i="1" s="1"/>
  <c r="B205" i="1" s="1"/>
  <c r="B204" i="1" s="1"/>
  <c r="B203" i="1" s="1"/>
  <c r="B202" i="1" s="1"/>
  <c r="B201" i="1" s="1"/>
  <c r="B200" i="1" s="1"/>
  <c r="B199" i="1" s="1"/>
  <c r="B198" i="1" s="1"/>
  <c r="B197" i="1" s="1"/>
  <c r="B196" i="1" s="1"/>
  <c r="B195" i="1" s="1"/>
  <c r="B194" i="1" s="1"/>
  <c r="B193" i="1" s="1"/>
  <c r="B192" i="1" s="1"/>
  <c r="B191" i="1" s="1"/>
  <c r="B190" i="1" s="1"/>
  <c r="B189" i="1" s="1"/>
  <c r="B188" i="1" s="1"/>
  <c r="B187" i="1" s="1"/>
  <c r="B186" i="1" s="1"/>
  <c r="B185" i="1" s="1"/>
  <c r="B184" i="1" s="1"/>
  <c r="B183" i="1" s="1"/>
  <c r="B182" i="1" s="1"/>
  <c r="B181" i="1" s="1"/>
  <c r="B180" i="1" s="1"/>
  <c r="B179" i="1" s="1"/>
  <c r="B178" i="1" s="1"/>
  <c r="B177" i="1" s="1"/>
  <c r="B176" i="1" s="1"/>
  <c r="B175" i="1" s="1"/>
  <c r="B174" i="1" s="1"/>
  <c r="B173" i="1" s="1"/>
  <c r="B172" i="1" s="1"/>
  <c r="B171" i="1" s="1"/>
  <c r="B170" i="1" s="1"/>
  <c r="B169" i="1" s="1"/>
  <c r="B168" i="1" s="1"/>
  <c r="B167" i="1" s="1"/>
  <c r="B166" i="1" s="1"/>
  <c r="B165" i="1" s="1"/>
  <c r="B164" i="1" s="1"/>
  <c r="B163" i="1" s="1"/>
  <c r="B162" i="1" s="1"/>
  <c r="B161" i="1" s="1"/>
  <c r="B160" i="1" s="1"/>
  <c r="B159" i="1" s="1"/>
  <c r="B158" i="1" s="1"/>
  <c r="B157" i="1" s="1"/>
  <c r="B156" i="1" s="1"/>
  <c r="B155" i="1" s="1"/>
  <c r="B154" i="1" s="1"/>
  <c r="B153" i="1" s="1"/>
  <c r="B152" i="1" s="1"/>
  <c r="B151" i="1" s="1"/>
  <c r="B150" i="1" s="1"/>
  <c r="B149" i="1" s="1"/>
  <c r="B148" i="1" s="1"/>
  <c r="B147" i="1" s="1"/>
  <c r="B146" i="1" s="1"/>
  <c r="B145" i="1" s="1"/>
  <c r="B144" i="1" s="1"/>
  <c r="B143" i="1" s="1"/>
  <c r="B142" i="1" s="1"/>
  <c r="B141" i="1" s="1"/>
  <c r="B140" i="1" s="1"/>
  <c r="B139" i="1" s="1"/>
  <c r="B138" i="1" s="1"/>
  <c r="B137" i="1" s="1"/>
  <c r="B136" i="1" s="1"/>
  <c r="B135" i="1" s="1"/>
  <c r="B134" i="1" s="1"/>
  <c r="B133" i="1" s="1"/>
  <c r="B132" i="1" s="1"/>
  <c r="B131" i="1" s="1"/>
  <c r="B130" i="1" s="1"/>
  <c r="B129" i="1" s="1"/>
  <c r="B128" i="1" s="1"/>
  <c r="B127" i="1" s="1"/>
  <c r="B126" i="1" s="1"/>
  <c r="B125" i="1" s="1"/>
  <c r="B124" i="1" s="1"/>
  <c r="B123" i="1" s="1"/>
  <c r="B122" i="1" s="1"/>
  <c r="B121" i="1" s="1"/>
  <c r="B120" i="1" s="1"/>
  <c r="B119" i="1" s="1"/>
  <c r="B118" i="1" s="1"/>
  <c r="B117" i="1" s="1"/>
  <c r="B116" i="1" s="1"/>
  <c r="B115" i="1" s="1"/>
  <c r="B114" i="1" s="1"/>
  <c r="B113" i="1" s="1"/>
  <c r="B112" i="1" s="1"/>
  <c r="B111" i="1" s="1"/>
  <c r="B110" i="1" s="1"/>
  <c r="B109" i="1" s="1"/>
  <c r="B108" i="1" s="1"/>
  <c r="B107" i="1" s="1"/>
  <c r="B106" i="1" s="1"/>
  <c r="B105" i="1" s="1"/>
  <c r="B104" i="1" s="1"/>
  <c r="B103" i="1" s="1"/>
  <c r="B102" i="1" s="1"/>
  <c r="B101" i="1" s="1"/>
  <c r="B100" i="1" s="1"/>
  <c r="B99" i="1" s="1"/>
  <c r="B98" i="1" s="1"/>
  <c r="B97" i="1" s="1"/>
  <c r="B96" i="1" s="1"/>
  <c r="B95" i="1" s="1"/>
  <c r="B94" i="1" s="1"/>
  <c r="B93" i="1" s="1"/>
  <c r="B92" i="1" s="1"/>
  <c r="B91" i="1" s="1"/>
  <c r="B90" i="1" s="1"/>
  <c r="B89" i="1" s="1"/>
  <c r="B88" i="1" s="1"/>
  <c r="B87" i="1" s="1"/>
  <c r="B86" i="1" s="1"/>
  <c r="B85" i="1" s="1"/>
  <c r="B84" i="1" s="1"/>
  <c r="B83" i="1" s="1"/>
  <c r="B82" i="1" s="1"/>
  <c r="B81" i="1" s="1"/>
  <c r="B80" i="1" s="1"/>
  <c r="B79" i="1" s="1"/>
  <c r="B78" i="1" s="1"/>
  <c r="B77" i="1" s="1"/>
  <c r="B76" i="1" s="1"/>
  <c r="B75" i="1" s="1"/>
  <c r="B74" i="1" s="1"/>
  <c r="B73" i="1" s="1"/>
  <c r="B72" i="1" s="1"/>
  <c r="B71" i="1" s="1"/>
  <c r="B70" i="1" s="1"/>
  <c r="B69" i="1" s="1"/>
  <c r="B68" i="1" s="1"/>
  <c r="B67" i="1" s="1"/>
  <c r="B66" i="1" s="1"/>
  <c r="B65" i="1" s="1"/>
  <c r="B64" i="1" s="1"/>
  <c r="B63" i="1" s="1"/>
  <c r="B62" i="1" s="1"/>
  <c r="B61" i="1" s="1"/>
  <c r="B60" i="1" s="1"/>
  <c r="B59" i="1" s="1"/>
  <c r="B58" i="1" s="1"/>
  <c r="B57" i="1" s="1"/>
  <c r="B56" i="1" s="1"/>
  <c r="B55" i="1" s="1"/>
  <c r="B54" i="1" s="1"/>
  <c r="B53" i="1" s="1"/>
  <c r="B52" i="1" s="1"/>
  <c r="B51" i="1" s="1"/>
  <c r="B50" i="1" s="1"/>
  <c r="B49" i="1" s="1"/>
  <c r="B48" i="1" s="1"/>
  <c r="B47" i="1" s="1"/>
  <c r="B46" i="1" s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C4" i="5" l="1"/>
  <c r="C3" i="5" s="1"/>
  <c r="G4" i="5"/>
  <c r="G2" i="5" s="1"/>
  <c r="F4" i="5"/>
  <c r="F2" i="5" s="1"/>
  <c r="E4" i="5"/>
  <c r="E3" i="5" s="1"/>
  <c r="D4" i="5"/>
  <c r="D3" i="5" s="1"/>
  <c r="D6" i="1"/>
  <c r="F3" i="5" l="1"/>
  <c r="D2" i="5"/>
  <c r="E2" i="5"/>
  <c r="G3" i="5"/>
  <c r="C2" i="5"/>
  <c r="H28" i="5" l="1"/>
  <c r="H44" i="5"/>
  <c r="H60" i="5"/>
  <c r="H76" i="5"/>
  <c r="H92" i="5"/>
  <c r="H108" i="5"/>
  <c r="H124" i="5"/>
  <c r="H140" i="5"/>
  <c r="H156" i="5"/>
  <c r="H172" i="5"/>
  <c r="H188" i="5"/>
  <c r="H204" i="5"/>
  <c r="H52" i="5"/>
  <c r="H37" i="5"/>
  <c r="H54" i="5"/>
  <c r="H86" i="5"/>
  <c r="H134" i="5"/>
  <c r="H166" i="5"/>
  <c r="H39" i="5"/>
  <c r="H103" i="5"/>
  <c r="H135" i="5"/>
  <c r="H183" i="5"/>
  <c r="H154" i="5"/>
  <c r="H27" i="5"/>
  <c r="H91" i="5"/>
  <c r="H139" i="5"/>
  <c r="H171" i="5"/>
  <c r="H203" i="5"/>
  <c r="H13" i="5"/>
  <c r="H29" i="5"/>
  <c r="H45" i="5"/>
  <c r="H61" i="5"/>
  <c r="H77" i="5"/>
  <c r="H93" i="5"/>
  <c r="H109" i="5"/>
  <c r="H125" i="5"/>
  <c r="H141" i="5"/>
  <c r="H157" i="5"/>
  <c r="H173" i="5"/>
  <c r="H189" i="5"/>
  <c r="H205" i="5"/>
  <c r="H20" i="5"/>
  <c r="H100" i="5"/>
  <c r="H132" i="5"/>
  <c r="H148" i="5"/>
  <c r="H164" i="5"/>
  <c r="H180" i="5"/>
  <c r="H196" i="5"/>
  <c r="H69" i="5"/>
  <c r="H22" i="5"/>
  <c r="H26" i="5"/>
  <c r="H58" i="5"/>
  <c r="H74" i="5"/>
  <c r="H90" i="5"/>
  <c r="H106" i="5"/>
  <c r="H122" i="5"/>
  <c r="H138" i="5"/>
  <c r="H170" i="5"/>
  <c r="H186" i="5"/>
  <c r="H202" i="5"/>
  <c r="H14" i="5"/>
  <c r="H30" i="5"/>
  <c r="H46" i="5"/>
  <c r="H62" i="5"/>
  <c r="H78" i="5"/>
  <c r="H94" i="5"/>
  <c r="H110" i="5"/>
  <c r="H126" i="5"/>
  <c r="H142" i="5"/>
  <c r="H158" i="5"/>
  <c r="H174" i="5"/>
  <c r="H190" i="5"/>
  <c r="H206" i="5"/>
  <c r="H15" i="5"/>
  <c r="H31" i="5"/>
  <c r="H47" i="5"/>
  <c r="H63" i="5"/>
  <c r="H79" i="5"/>
  <c r="H95" i="5"/>
  <c r="H111" i="5"/>
  <c r="H127" i="5"/>
  <c r="H143" i="5"/>
  <c r="H159" i="5"/>
  <c r="H175" i="5"/>
  <c r="H191" i="5"/>
  <c r="H207" i="5"/>
  <c r="H21" i="5"/>
  <c r="H85" i="5"/>
  <c r="H101" i="5"/>
  <c r="H117" i="5"/>
  <c r="H133" i="5"/>
  <c r="H149" i="5"/>
  <c r="H165" i="5"/>
  <c r="H181" i="5"/>
  <c r="H197" i="5"/>
  <c r="H12" i="5"/>
  <c r="H70" i="5"/>
  <c r="H102" i="5"/>
  <c r="H150" i="5"/>
  <c r="H198" i="5"/>
  <c r="H23" i="5"/>
  <c r="H167" i="5"/>
  <c r="H104" i="5"/>
  <c r="H136" i="5"/>
  <c r="H184" i="5"/>
  <c r="H43" i="5"/>
  <c r="H59" i="5"/>
  <c r="H75" i="5"/>
  <c r="H107" i="5"/>
  <c r="H123" i="5"/>
  <c r="H155" i="5"/>
  <c r="H187" i="5"/>
  <c r="H16" i="5"/>
  <c r="H32" i="5"/>
  <c r="H48" i="5"/>
  <c r="H64" i="5"/>
  <c r="H80" i="5"/>
  <c r="H96" i="5"/>
  <c r="H112" i="5"/>
  <c r="H128" i="5"/>
  <c r="H144" i="5"/>
  <c r="H160" i="5"/>
  <c r="H176" i="5"/>
  <c r="H192" i="5"/>
  <c r="H208" i="5"/>
  <c r="H17" i="5"/>
  <c r="H33" i="5"/>
  <c r="H49" i="5"/>
  <c r="H65" i="5"/>
  <c r="H81" i="5"/>
  <c r="H97" i="5"/>
  <c r="H113" i="5"/>
  <c r="H129" i="5"/>
  <c r="H145" i="5"/>
  <c r="H161" i="5"/>
  <c r="H177" i="5"/>
  <c r="H193" i="5"/>
  <c r="H209" i="5"/>
  <c r="H18" i="5"/>
  <c r="H34" i="5"/>
  <c r="H50" i="5"/>
  <c r="H66" i="5"/>
  <c r="H82" i="5"/>
  <c r="H98" i="5"/>
  <c r="H114" i="5"/>
  <c r="H130" i="5"/>
  <c r="H146" i="5"/>
  <c r="H162" i="5"/>
  <c r="H178" i="5"/>
  <c r="H194" i="5"/>
  <c r="H210" i="5"/>
  <c r="H19" i="5"/>
  <c r="H35" i="5"/>
  <c r="H51" i="5"/>
  <c r="H67" i="5"/>
  <c r="H83" i="5"/>
  <c r="H99" i="5"/>
  <c r="H115" i="5"/>
  <c r="H131" i="5"/>
  <c r="H147" i="5"/>
  <c r="H163" i="5"/>
  <c r="H179" i="5"/>
  <c r="H195" i="5"/>
  <c r="H211" i="5"/>
  <c r="H36" i="5"/>
  <c r="H68" i="5"/>
  <c r="H84" i="5"/>
  <c r="H116" i="5"/>
  <c r="H53" i="5"/>
  <c r="H38" i="5"/>
  <c r="H118" i="5"/>
  <c r="H182" i="5"/>
  <c r="H55" i="5"/>
  <c r="H71" i="5"/>
  <c r="H87" i="5"/>
  <c r="H119" i="5"/>
  <c r="H151" i="5"/>
  <c r="H199" i="5"/>
  <c r="H88" i="5"/>
  <c r="H152" i="5"/>
  <c r="H200" i="5"/>
  <c r="H41" i="5"/>
  <c r="H57" i="5"/>
  <c r="H73" i="5"/>
  <c r="H89" i="5"/>
  <c r="H105" i="5"/>
  <c r="H121" i="5"/>
  <c r="H137" i="5"/>
  <c r="H153" i="5"/>
  <c r="H169" i="5"/>
  <c r="H185" i="5"/>
  <c r="H201" i="5"/>
  <c r="H24" i="5"/>
  <c r="H40" i="5"/>
  <c r="H56" i="5"/>
  <c r="H72" i="5"/>
  <c r="H120" i="5"/>
  <c r="H168" i="5"/>
  <c r="H42" i="5"/>
  <c r="H25" i="5"/>
  <c r="B210" i="5"/>
  <c r="B209" i="5"/>
  <c r="B208" i="5"/>
  <c r="B207" i="5"/>
  <c r="B206" i="5"/>
  <c r="B205" i="5"/>
  <c r="B204" i="5"/>
  <c r="B203" i="5"/>
  <c r="B202" i="5" s="1"/>
  <c r="B201" i="5" s="1"/>
  <c r="B200" i="5" s="1"/>
  <c r="B199" i="5" s="1"/>
  <c r="B198" i="5" s="1"/>
  <c r="B197" i="5" s="1"/>
  <c r="B196" i="5" s="1"/>
  <c r="B195" i="5" s="1"/>
  <c r="B194" i="5" s="1"/>
  <c r="B193" i="5" s="1"/>
  <c r="B192" i="5" s="1"/>
  <c r="B191" i="5" s="1"/>
  <c r="B190" i="5" s="1"/>
  <c r="B189" i="5" s="1"/>
  <c r="B188" i="5" s="1"/>
  <c r="B187" i="5" s="1"/>
  <c r="B186" i="5" s="1"/>
  <c r="B185" i="5" s="1"/>
  <c r="B184" i="5" s="1"/>
  <c r="B183" i="5" s="1"/>
  <c r="B182" i="5" s="1"/>
  <c r="B181" i="5" s="1"/>
  <c r="B180" i="5" s="1"/>
  <c r="B179" i="5" s="1"/>
  <c r="B178" i="5" s="1"/>
  <c r="B177" i="5" s="1"/>
  <c r="B176" i="5" s="1"/>
  <c r="B175" i="5" s="1"/>
  <c r="B174" i="5" s="1"/>
  <c r="B173" i="5" s="1"/>
  <c r="B172" i="5" s="1"/>
  <c r="B171" i="5" s="1"/>
  <c r="B170" i="5" s="1"/>
  <c r="B169" i="5" s="1"/>
  <c r="B168" i="5" s="1"/>
  <c r="B167" i="5" s="1"/>
  <c r="B166" i="5" s="1"/>
  <c r="B165" i="5" s="1"/>
  <c r="B164" i="5" s="1"/>
  <c r="B163" i="5" s="1"/>
  <c r="B162" i="5" s="1"/>
  <c r="B161" i="5" s="1"/>
  <c r="B160" i="5" s="1"/>
  <c r="B159" i="5" s="1"/>
  <c r="B158" i="5" s="1"/>
  <c r="B157" i="5" s="1"/>
  <c r="B156" i="5" s="1"/>
  <c r="B155" i="5" s="1"/>
  <c r="B154" i="5" s="1"/>
  <c r="B153" i="5" s="1"/>
  <c r="B152" i="5" s="1"/>
  <c r="B151" i="5" s="1"/>
  <c r="B150" i="5" s="1"/>
  <c r="B149" i="5" s="1"/>
  <c r="B148" i="5" s="1"/>
  <c r="B147" i="5" s="1"/>
  <c r="B146" i="5" s="1"/>
  <c r="B145" i="5" s="1"/>
  <c r="B144" i="5" s="1"/>
  <c r="B143" i="5" s="1"/>
  <c r="B142" i="5" s="1"/>
  <c r="B141" i="5" s="1"/>
  <c r="B140" i="5" s="1"/>
  <c r="B139" i="5" s="1"/>
  <c r="B138" i="5" s="1"/>
  <c r="B137" i="5" s="1"/>
  <c r="B136" i="5" s="1"/>
  <c r="B135" i="5" s="1"/>
  <c r="B134" i="5" s="1"/>
  <c r="B133" i="5" s="1"/>
  <c r="B132" i="5" s="1"/>
  <c r="B131" i="5" s="1"/>
  <c r="B130" i="5" s="1"/>
  <c r="B129" i="5" s="1"/>
  <c r="B128" i="5" s="1"/>
  <c r="B127" i="5" s="1"/>
  <c r="B126" i="5" s="1"/>
  <c r="B125" i="5" s="1"/>
  <c r="B124" i="5" s="1"/>
  <c r="B123" i="5" s="1"/>
  <c r="B122" i="5" s="1"/>
  <c r="B121" i="5" s="1"/>
  <c r="B120" i="5" s="1"/>
  <c r="B119" i="5" s="1"/>
  <c r="B118" i="5" s="1"/>
  <c r="B117" i="5" s="1"/>
  <c r="B116" i="5" s="1"/>
  <c r="B115" i="5" s="1"/>
  <c r="B114" i="5" s="1"/>
  <c r="B113" i="5" s="1"/>
  <c r="B112" i="5" s="1"/>
  <c r="B111" i="5" s="1"/>
  <c r="B110" i="5" s="1"/>
  <c r="B109" i="5" s="1"/>
  <c r="B108" i="5" s="1"/>
  <c r="B107" i="5" s="1"/>
  <c r="B106" i="5" s="1"/>
  <c r="B105" i="5" s="1"/>
  <c r="B104" i="5" s="1"/>
  <c r="B103" i="5" s="1"/>
  <c r="B102" i="5" s="1"/>
  <c r="B101" i="5" s="1"/>
  <c r="B100" i="5" s="1"/>
  <c r="B99" i="5" s="1"/>
  <c r="B98" i="5" s="1"/>
  <c r="B97" i="5" s="1"/>
  <c r="B96" i="5" s="1"/>
  <c r="B95" i="5" s="1"/>
  <c r="B94" i="5" s="1"/>
  <c r="B93" i="5" s="1"/>
  <c r="B92" i="5" s="1"/>
  <c r="B91" i="5" s="1"/>
  <c r="B90" i="5" s="1"/>
  <c r="B89" i="5" s="1"/>
  <c r="B88" i="5" s="1"/>
  <c r="B87" i="5" s="1"/>
  <c r="B86" i="5" s="1"/>
  <c r="B85" i="5" s="1"/>
  <c r="B84" i="5" s="1"/>
  <c r="B83" i="5" s="1"/>
  <c r="B82" i="5" s="1"/>
  <c r="B81" i="5" s="1"/>
  <c r="B80" i="5" s="1"/>
  <c r="B79" i="5" s="1"/>
  <c r="B78" i="5" s="1"/>
  <c r="B77" i="5" s="1"/>
  <c r="B76" i="5" s="1"/>
  <c r="B75" i="5" s="1"/>
  <c r="B74" i="5" s="1"/>
  <c r="B73" i="5" s="1"/>
  <c r="B72" i="5" s="1"/>
  <c r="B71" i="5" s="1"/>
  <c r="B70" i="5" s="1"/>
  <c r="B69" i="5" s="1"/>
  <c r="B68" i="5" s="1"/>
  <c r="B67" i="5" s="1"/>
  <c r="B66" i="5" s="1"/>
  <c r="B65" i="5" s="1"/>
  <c r="B64" i="5" s="1"/>
  <c r="B63" i="5" s="1"/>
  <c r="B62" i="5" s="1"/>
  <c r="B61" i="5" s="1"/>
  <c r="B60" i="5" s="1"/>
  <c r="B59" i="5" s="1"/>
  <c r="B58" i="5" s="1"/>
  <c r="B57" i="5" s="1"/>
  <c r="B56" i="5" s="1"/>
  <c r="B55" i="5" s="1"/>
  <c r="B54" i="5" s="1"/>
  <c r="B53" i="5" s="1"/>
  <c r="B52" i="5" s="1"/>
  <c r="B51" i="5" s="1"/>
  <c r="B50" i="5" s="1"/>
  <c r="B49" i="5" s="1"/>
  <c r="B48" i="5" s="1"/>
  <c r="B47" i="5" s="1"/>
  <c r="B46" i="5" s="1"/>
  <c r="B45" i="5" s="1"/>
  <c r="B44" i="5" s="1"/>
  <c r="B43" i="5" s="1"/>
  <c r="B42" i="5" s="1"/>
  <c r="B41" i="5" s="1"/>
  <c r="B40" i="5" s="1"/>
  <c r="B39" i="5" s="1"/>
  <c r="B38" i="5" s="1"/>
  <c r="B37" i="5" s="1"/>
  <c r="B36" i="5" s="1"/>
  <c r="B35" i="5" s="1"/>
  <c r="B34" i="5" s="1"/>
  <c r="B33" i="5" s="1"/>
  <c r="B32" i="5" s="1"/>
  <c r="B31" i="5" s="1"/>
  <c r="B30" i="5" s="1"/>
  <c r="B29" i="5" s="1"/>
  <c r="B28" i="5" s="1"/>
  <c r="B27" i="5" s="1"/>
  <c r="B26" i="5" s="1"/>
  <c r="B25" i="5" s="1"/>
  <c r="B24" i="5" s="1"/>
  <c r="B23" i="5" s="1"/>
  <c r="B22" i="5" s="1"/>
  <c r="B21" i="5" s="1"/>
  <c r="B20" i="5" s="1"/>
  <c r="B19" i="5" s="1"/>
  <c r="B18" i="5" s="1"/>
  <c r="B17" i="5" s="1"/>
  <c r="B16" i="5" s="1"/>
  <c r="B15" i="5" s="1"/>
  <c r="B14" i="5" s="1"/>
  <c r="B13" i="5" s="1"/>
  <c r="B12" i="5" s="1"/>
</calcChain>
</file>

<file path=xl/sharedStrings.xml><?xml version="1.0" encoding="utf-8"?>
<sst xmlns="http://schemas.openxmlformats.org/spreadsheetml/2006/main" count="130" uniqueCount="73">
  <si>
    <t>ID</t>
  </si>
  <si>
    <t>DAYS</t>
  </si>
  <si>
    <t>GoogleAds</t>
  </si>
  <si>
    <t>Meta</t>
  </si>
  <si>
    <t>Influencer</t>
  </si>
  <si>
    <t>SALES</t>
  </si>
  <si>
    <t>Farkındalık</t>
  </si>
  <si>
    <t>Uygulama İndirme</t>
  </si>
  <si>
    <t>Üye Olma</t>
  </si>
  <si>
    <t>Satın Alma</t>
  </si>
  <si>
    <t>Retention</t>
  </si>
  <si>
    <t>Kişi Sayısı</t>
  </si>
  <si>
    <t>1000 $</t>
  </si>
  <si>
    <t xml:space="preserve">Reklam Harcaması </t>
  </si>
  <si>
    <t>Aylık Gelir</t>
  </si>
  <si>
    <t>15$</t>
  </si>
  <si>
    <t>TIKTOK</t>
  </si>
  <si>
    <t>Missing Value</t>
  </si>
  <si>
    <t>AVERAGE</t>
  </si>
  <si>
    <t>MEDIAN</t>
  </si>
  <si>
    <t>STAND. DEV.</t>
  </si>
  <si>
    <t>CV</t>
  </si>
  <si>
    <t>CORRELATION G.A.</t>
  </si>
  <si>
    <t>CORRELATION META</t>
  </si>
  <si>
    <t>CORRELATION TIKTOK</t>
  </si>
  <si>
    <t>CORRELATION SALES</t>
  </si>
  <si>
    <t>CORRELATION INF.</t>
  </si>
  <si>
    <t>-</t>
  </si>
  <si>
    <t>CORRE. SALES.</t>
  </si>
  <si>
    <t>CORR. G. ADS.</t>
  </si>
  <si>
    <t>Q1</t>
  </si>
  <si>
    <t>Q3</t>
  </si>
  <si>
    <t>IQR</t>
  </si>
  <si>
    <t>LOWERBAND</t>
  </si>
  <si>
    <t>UPPERBAND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</si>
  <si>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</si>
  <si>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</si>
  <si>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</si>
  <si>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</si>
  <si>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</si>
  <si>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</si>
  <si>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</si>
  <si>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</si>
  <si>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</si>
  <si>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</si>
  <si>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</si>
  <si>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</si>
  <si>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</si>
  <si>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</si>
  <si>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</si>
  <si>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</si>
  <si>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</si>
  <si>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</si>
  <si>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</si>
  <si>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</si>
  <si>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</si>
  <si>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</si>
  <si>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</si>
  <si>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</si>
  <si>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Sales=171+0.1*GoogleAds-0.2*Meta-0.37*Influencer-0.4*Tiktok</t>
  </si>
  <si>
    <t>Sales</t>
  </si>
  <si>
    <t>* Korelasyon kat sayısıyla orantılı düşünülmüştür.</t>
  </si>
  <si>
    <t>Cost</t>
  </si>
  <si>
    <t>Churn</t>
  </si>
  <si>
    <t>Kişi Başı Reklam Harcaması</t>
  </si>
  <si>
    <t>LT(Yıllık)</t>
  </si>
  <si>
    <t>LT (Aylık)</t>
  </si>
  <si>
    <t>1 aylık gelir</t>
  </si>
  <si>
    <t xml:space="preserve">LTV </t>
  </si>
  <si>
    <t>CAC</t>
  </si>
  <si>
    <t>LTV</t>
  </si>
  <si>
    <t>Yatırım Yapılabilir</t>
  </si>
  <si>
    <t>Yatırım Yapılabilir mi?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</si>
</sst>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&quot;₺&quot;* #,##0.00_);_(&quot;₺&quot;* \(#,##0.00\);_(&quot;₺&quot;* &quot;-&quot;??_);_(@_)"/>
    <numFmt numFmtId="165" formatCode="_-* #,##0_-;\-* #,##0_-;_-* &quot;-&quot;??_-;_-@"/>
    <numFmt numFmtId="166" formatCode="_(* #,##0.0_);_(* \(#,##0.0\);_(* &quot;-&quot;??_);_(@_)"/>
    <numFmt numFmtId="167" formatCode="_(* #,##0_);_(* \(#,##0\);_(* &quot;-&quot;??_);_(@_)"/>
    <numFmt numFmtId="168" formatCode="[$₺-41F]#,##0.00"/>
    <numFmt numFmtId="172" formatCode="_-[$₺-41F]* #,##0.00_-;\-[$₺-41F]* #,##0.00_-;_-[$₺-41F]* &quot;-&quot;??_-;_-@_-"/>
  </numFmts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9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1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5" fontId="0" fillId="0" borderId="0" xfId="0" applyNumberFormat="1"/>
    <xf numFmtId="43" fontId="0" fillId="0" borderId="0" xfId="1" applyFont="1"/>
    <xf numFmtId="9" fontId="0" fillId="0" borderId="0" xfId="2" applyFont="1"/>
    <xf numFmtId="165" fontId="2" fillId="5" borderId="0" xfId="0" applyNumberFormat="1" applyFont="1" applyFill="1" applyAlignment="1">
      <alignment horizontal="center"/>
    </xf>
    <xf numFmtId="165" fontId="0" fillId="5" borderId="0" xfId="0" applyNumberFormat="1" applyFill="1"/>
    <xf numFmtId="0" fontId="3" fillId="6" borderId="1" xfId="0" applyFont="1" applyFill="1" applyBorder="1" applyAlignment="1">
      <alignment horizontal="center"/>
    </xf>
    <xf numFmtId="166" fontId="0" fillId="0" borderId="0" xfId="1" applyNumberFormat="1" applyFont="1"/>
    <xf numFmtId="167" fontId="0" fillId="0" borderId="0" xfId="1" applyNumberFormat="1" applyFont="1"/>
    <xf numFmtId="167" fontId="3" fillId="3" borderId="1" xfId="1" applyNumberFormat="1" applyFont="1" applyFill="1" applyBorder="1" applyAlignment="1">
      <alignment horizontal="center"/>
    </xf>
    <xf numFmtId="43" fontId="0" fillId="0" borderId="0" xfId="0" applyNumberFormat="1"/>
    <xf numFmtId="4" fontId="0" fillId="0" borderId="0" xfId="0" applyNumberFormat="1"/>
    <xf numFmtId="165" fontId="2" fillId="7" borderId="0" xfId="0" applyNumberFormat="1" applyFont="1" applyFill="1" applyAlignment="1">
      <alignment horizontal="center"/>
    </xf>
    <xf numFmtId="167" fontId="0" fillId="7" borderId="0" xfId="1" applyNumberFormat="1" applyFont="1" applyFill="1"/>
    <xf numFmtId="0" fontId="0" fillId="7" borderId="0" xfId="0" applyFill="1"/>
    <xf numFmtId="0" fontId="0" fillId="0" borderId="1" xfId="0" applyBorder="1"/>
    <xf numFmtId="0" fontId="0" fillId="0" borderId="2" xfId="0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0" borderId="0" xfId="0" applyNumberFormat="1"/>
    <xf numFmtId="168" fontId="0" fillId="0" borderId="0" xfId="0" applyNumberFormat="1"/>
    <xf numFmtId="172" fontId="0" fillId="0" borderId="0" xfId="0" applyNumberFormat="1"/>
    <xf numFmtId="172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ADS AND SALES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1028602673246"/>
          <c:y val="5.6610870661034922E-2"/>
          <c:w val="0.8711968503937007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ÖDEV!$G$1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ÖDEV!$C$2:$C$1020</c:f>
              <c:numCache>
                <c:formatCode>General</c:formatCode>
                <c:ptCount val="1019"/>
                <c:pt idx="0">
                  <c:v>56.02</c:v>
                </c:pt>
                <c:pt idx="1">
                  <c:v>10.9</c:v>
                </c:pt>
                <c:pt idx="2">
                  <c:v>12.44</c:v>
                </c:pt>
                <c:pt idx="3">
                  <c:v>31.3</c:v>
                </c:pt>
                <c:pt idx="4">
                  <c:v>46.160000000000004</c:v>
                </c:pt>
                <c:pt idx="5">
                  <c:v>6.74</c:v>
                </c:pt>
                <c:pt idx="6">
                  <c:v>13.5</c:v>
                </c:pt>
                <c:pt idx="7">
                  <c:v>31.04</c:v>
                </c:pt>
                <c:pt idx="8">
                  <c:v>9.7200000000000006</c:v>
                </c:pt>
                <c:pt idx="9">
                  <c:v>40.96</c:v>
                </c:pt>
                <c:pt idx="10">
                  <c:v>23.22</c:v>
                </c:pt>
                <c:pt idx="11">
                  <c:v>50.94</c:v>
                </c:pt>
                <c:pt idx="12">
                  <c:v>10.76</c:v>
                </c:pt>
                <c:pt idx="13">
                  <c:v>26.5</c:v>
                </c:pt>
                <c:pt idx="14">
                  <c:v>44.82</c:v>
                </c:pt>
                <c:pt idx="15">
                  <c:v>42.08</c:v>
                </c:pt>
                <c:pt idx="16">
                  <c:v>89.06</c:v>
                </c:pt>
                <c:pt idx="17">
                  <c:v>62.279999999999994</c:v>
                </c:pt>
                <c:pt idx="18">
                  <c:v>14.84</c:v>
                </c:pt>
                <c:pt idx="19">
                  <c:v>32.46</c:v>
                </c:pt>
                <c:pt idx="20">
                  <c:v>46.68</c:v>
                </c:pt>
                <c:pt idx="21">
                  <c:v>48.480000000000004</c:v>
                </c:pt>
                <c:pt idx="22">
                  <c:v>11.64</c:v>
                </c:pt>
                <c:pt idx="23">
                  <c:v>49.660000000000004</c:v>
                </c:pt>
                <c:pt idx="24">
                  <c:v>20.46</c:v>
                </c:pt>
                <c:pt idx="25">
                  <c:v>59.58</c:v>
                </c:pt>
                <c:pt idx="26">
                  <c:v>38.58</c:v>
                </c:pt>
                <c:pt idx="27">
                  <c:v>49.019999999999996</c:v>
                </c:pt>
                <c:pt idx="28">
                  <c:v>52.760000000000005</c:v>
                </c:pt>
                <c:pt idx="29">
                  <c:v>15.12</c:v>
                </c:pt>
                <c:pt idx="30">
                  <c:v>59.58</c:v>
                </c:pt>
                <c:pt idx="31">
                  <c:v>92.987500000000011</c:v>
                </c:pt>
                <c:pt idx="32">
                  <c:v>20.440000000000001</c:v>
                </c:pt>
                <c:pt idx="33">
                  <c:v>61.120000000000005</c:v>
                </c:pt>
                <c:pt idx="34">
                  <c:v>24.14</c:v>
                </c:pt>
                <c:pt idx="35">
                  <c:v>62.14</c:v>
                </c:pt>
                <c:pt idx="36">
                  <c:v>56.379999999999995</c:v>
                </c:pt>
                <c:pt idx="37">
                  <c:v>24.94</c:v>
                </c:pt>
                <c:pt idx="38">
                  <c:v>14.620000000000001</c:v>
                </c:pt>
                <c:pt idx="39">
                  <c:v>53.6</c:v>
                </c:pt>
                <c:pt idx="40">
                  <c:v>45.5</c:v>
                </c:pt>
                <c:pt idx="41">
                  <c:v>40.4</c:v>
                </c:pt>
                <c:pt idx="42">
                  <c:v>67.72</c:v>
                </c:pt>
                <c:pt idx="43">
                  <c:v>51.38</c:v>
                </c:pt>
                <c:pt idx="44">
                  <c:v>12.02</c:v>
                </c:pt>
                <c:pt idx="45">
                  <c:v>42.019999999999996</c:v>
                </c:pt>
                <c:pt idx="46">
                  <c:v>18.940000000000001</c:v>
                </c:pt>
                <c:pt idx="47">
                  <c:v>52.980000000000004</c:v>
                </c:pt>
                <c:pt idx="48">
                  <c:v>46.44</c:v>
                </c:pt>
                <c:pt idx="49">
                  <c:v>14.38</c:v>
                </c:pt>
                <c:pt idx="50">
                  <c:v>43.96</c:v>
                </c:pt>
                <c:pt idx="51">
                  <c:v>29.080000000000002</c:v>
                </c:pt>
                <c:pt idx="52">
                  <c:v>44.28</c:v>
                </c:pt>
                <c:pt idx="53">
                  <c:v>41.519999999999996</c:v>
                </c:pt>
                <c:pt idx="54">
                  <c:v>62.54</c:v>
                </c:pt>
                <c:pt idx="55">
                  <c:v>40.78</c:v>
                </c:pt>
                <c:pt idx="56">
                  <c:v>3.46</c:v>
                </c:pt>
                <c:pt idx="57">
                  <c:v>33.239999999999995</c:v>
                </c:pt>
                <c:pt idx="58">
                  <c:v>49.160000000000004</c:v>
                </c:pt>
                <c:pt idx="59">
                  <c:v>50.14</c:v>
                </c:pt>
                <c:pt idx="60">
                  <c:v>16.7</c:v>
                </c:pt>
                <c:pt idx="61">
                  <c:v>61.260000000000005</c:v>
                </c:pt>
                <c:pt idx="62">
                  <c:v>53.86</c:v>
                </c:pt>
                <c:pt idx="63">
                  <c:v>27.54</c:v>
                </c:pt>
                <c:pt idx="64">
                  <c:v>27.22</c:v>
                </c:pt>
                <c:pt idx="65">
                  <c:v>21.8</c:v>
                </c:pt>
                <c:pt idx="66">
                  <c:v>15.3</c:v>
                </c:pt>
                <c:pt idx="67">
                  <c:v>30.860000000000003</c:v>
                </c:pt>
                <c:pt idx="68">
                  <c:v>51.480000000000004</c:v>
                </c:pt>
                <c:pt idx="69">
                  <c:v>48.36</c:v>
                </c:pt>
                <c:pt idx="70">
                  <c:v>44.82</c:v>
                </c:pt>
                <c:pt idx="71">
                  <c:v>29.96</c:v>
                </c:pt>
                <c:pt idx="72">
                  <c:v>15.36</c:v>
                </c:pt>
                <c:pt idx="73">
                  <c:v>28.880000000000003</c:v>
                </c:pt>
                <c:pt idx="74">
                  <c:v>50.68</c:v>
                </c:pt>
                <c:pt idx="75">
                  <c:v>12.379999999999999</c:v>
                </c:pt>
                <c:pt idx="76">
                  <c:v>13.5</c:v>
                </c:pt>
                <c:pt idx="77">
                  <c:v>25.1</c:v>
                </c:pt>
                <c:pt idx="78">
                  <c:v>8.08</c:v>
                </c:pt>
                <c:pt idx="79">
                  <c:v>31.2</c:v>
                </c:pt>
                <c:pt idx="80">
                  <c:v>19.28</c:v>
                </c:pt>
                <c:pt idx="81">
                  <c:v>29.96</c:v>
                </c:pt>
                <c:pt idx="82">
                  <c:v>18.059999999999999</c:v>
                </c:pt>
                <c:pt idx="83">
                  <c:v>22.68</c:v>
                </c:pt>
                <c:pt idx="84">
                  <c:v>45.7</c:v>
                </c:pt>
                <c:pt idx="85">
                  <c:v>42.64</c:v>
                </c:pt>
                <c:pt idx="86">
                  <c:v>21.259999999999998</c:v>
                </c:pt>
                <c:pt idx="87">
                  <c:v>28.14</c:v>
                </c:pt>
                <c:pt idx="88">
                  <c:v>27.66</c:v>
                </c:pt>
                <c:pt idx="89">
                  <c:v>23.96</c:v>
                </c:pt>
                <c:pt idx="90">
                  <c:v>31.860000000000003</c:v>
                </c:pt>
                <c:pt idx="91">
                  <c:v>14.72</c:v>
                </c:pt>
                <c:pt idx="92">
                  <c:v>47.54</c:v>
                </c:pt>
                <c:pt idx="93">
                  <c:v>56.18</c:v>
                </c:pt>
                <c:pt idx="94">
                  <c:v>30.48</c:v>
                </c:pt>
                <c:pt idx="95">
                  <c:v>40.660000000000004</c:v>
                </c:pt>
                <c:pt idx="96">
                  <c:v>46.519999999999996</c:v>
                </c:pt>
                <c:pt idx="97">
                  <c:v>41.980000000000004</c:v>
                </c:pt>
                <c:pt idx="98">
                  <c:v>64.94</c:v>
                </c:pt>
                <c:pt idx="99">
                  <c:v>28.04</c:v>
                </c:pt>
                <c:pt idx="100">
                  <c:v>51.480000000000004</c:v>
                </c:pt>
                <c:pt idx="101">
                  <c:v>63.279999999999994</c:v>
                </c:pt>
                <c:pt idx="102">
                  <c:v>64.039999999999992</c:v>
                </c:pt>
                <c:pt idx="103">
                  <c:v>38.58</c:v>
                </c:pt>
                <c:pt idx="104">
                  <c:v>54.64</c:v>
                </c:pt>
                <c:pt idx="105">
                  <c:v>37.58</c:v>
                </c:pt>
                <c:pt idx="106">
                  <c:v>8</c:v>
                </c:pt>
                <c:pt idx="107">
                  <c:v>27.080000000000002</c:v>
                </c:pt>
                <c:pt idx="108">
                  <c:v>9.620000000000001</c:v>
                </c:pt>
                <c:pt idx="109">
                  <c:v>53.08</c:v>
                </c:pt>
                <c:pt idx="110">
                  <c:v>54.160000000000004</c:v>
                </c:pt>
                <c:pt idx="111">
                  <c:v>55.339999999999996</c:v>
                </c:pt>
                <c:pt idx="112">
                  <c:v>39.14</c:v>
                </c:pt>
                <c:pt idx="113">
                  <c:v>44.92</c:v>
                </c:pt>
                <c:pt idx="114">
                  <c:v>18.64</c:v>
                </c:pt>
                <c:pt idx="115">
                  <c:v>24.02</c:v>
                </c:pt>
                <c:pt idx="116">
                  <c:v>37.839999999999996</c:v>
                </c:pt>
                <c:pt idx="117">
                  <c:v>25.28</c:v>
                </c:pt>
                <c:pt idx="118">
                  <c:v>29.14</c:v>
                </c:pt>
                <c:pt idx="119">
                  <c:v>9.879999999999999</c:v>
                </c:pt>
                <c:pt idx="120">
                  <c:v>36.260000000000005</c:v>
                </c:pt>
                <c:pt idx="121">
                  <c:v>7.76</c:v>
                </c:pt>
                <c:pt idx="122">
                  <c:v>45.8</c:v>
                </c:pt>
                <c:pt idx="123">
                  <c:v>33.619999999999997</c:v>
                </c:pt>
                <c:pt idx="124">
                  <c:v>51.9</c:v>
                </c:pt>
                <c:pt idx="125">
                  <c:v>18.440000000000001</c:v>
                </c:pt>
                <c:pt idx="126">
                  <c:v>8.56</c:v>
                </c:pt>
                <c:pt idx="127">
                  <c:v>71.06</c:v>
                </c:pt>
                <c:pt idx="128">
                  <c:v>54.06</c:v>
                </c:pt>
                <c:pt idx="129">
                  <c:v>18.920000000000002</c:v>
                </c:pt>
                <c:pt idx="130">
                  <c:v>6</c:v>
                </c:pt>
                <c:pt idx="131">
                  <c:v>55.04</c:v>
                </c:pt>
                <c:pt idx="132">
                  <c:v>5.68</c:v>
                </c:pt>
                <c:pt idx="133">
                  <c:v>45.96</c:v>
                </c:pt>
                <c:pt idx="134">
                  <c:v>14.379999999999999</c:v>
                </c:pt>
                <c:pt idx="135">
                  <c:v>14.66</c:v>
                </c:pt>
                <c:pt idx="136">
                  <c:v>10.120000000000001</c:v>
                </c:pt>
                <c:pt idx="137">
                  <c:v>58.739999999999995</c:v>
                </c:pt>
                <c:pt idx="138">
                  <c:v>9.6</c:v>
                </c:pt>
                <c:pt idx="139">
                  <c:v>18.920000000000002</c:v>
                </c:pt>
                <c:pt idx="140">
                  <c:v>21</c:v>
                </c:pt>
                <c:pt idx="141">
                  <c:v>49</c:v>
                </c:pt>
                <c:pt idx="142">
                  <c:v>50.1</c:v>
                </c:pt>
                <c:pt idx="143">
                  <c:v>28.919999999999998</c:v>
                </c:pt>
                <c:pt idx="144">
                  <c:v>29.240000000000002</c:v>
                </c:pt>
                <c:pt idx="145">
                  <c:v>31.060000000000002</c:v>
                </c:pt>
                <c:pt idx="146">
                  <c:v>55.019999999999996</c:v>
                </c:pt>
                <c:pt idx="147">
                  <c:v>50.64</c:v>
                </c:pt>
                <c:pt idx="148">
                  <c:v>15.6</c:v>
                </c:pt>
                <c:pt idx="149">
                  <c:v>196.98</c:v>
                </c:pt>
                <c:pt idx="150">
                  <c:v>66.14</c:v>
                </c:pt>
                <c:pt idx="151">
                  <c:v>31.2</c:v>
                </c:pt>
                <c:pt idx="152">
                  <c:v>40.519999999999996</c:v>
                </c:pt>
                <c:pt idx="153">
                  <c:v>37.260000000000005</c:v>
                </c:pt>
                <c:pt idx="154">
                  <c:v>43.56</c:v>
                </c:pt>
                <c:pt idx="155">
                  <c:v>9.82</c:v>
                </c:pt>
                <c:pt idx="156">
                  <c:v>25.78</c:v>
                </c:pt>
                <c:pt idx="157">
                  <c:v>39.96</c:v>
                </c:pt>
                <c:pt idx="158">
                  <c:v>12.34</c:v>
                </c:pt>
                <c:pt idx="159">
                  <c:v>32.339999999999996</c:v>
                </c:pt>
                <c:pt idx="160">
                  <c:v>44.5</c:v>
                </c:pt>
                <c:pt idx="161">
                  <c:v>19.14</c:v>
                </c:pt>
                <c:pt idx="162">
                  <c:v>42.68</c:v>
                </c:pt>
                <c:pt idx="163">
                  <c:v>33.700000000000003</c:v>
                </c:pt>
                <c:pt idx="164">
                  <c:v>28.44</c:v>
                </c:pt>
                <c:pt idx="165">
                  <c:v>56.9</c:v>
                </c:pt>
                <c:pt idx="166">
                  <c:v>11.58</c:v>
                </c:pt>
                <c:pt idx="167">
                  <c:v>48.36</c:v>
                </c:pt>
                <c:pt idx="168">
                  <c:v>45.08</c:v>
                </c:pt>
                <c:pt idx="169">
                  <c:v>60.86</c:v>
                </c:pt>
                <c:pt idx="170">
                  <c:v>12</c:v>
                </c:pt>
                <c:pt idx="171">
                  <c:v>42.9</c:v>
                </c:pt>
                <c:pt idx="172">
                  <c:v>9.92</c:v>
                </c:pt>
                <c:pt idx="173">
                  <c:v>36.68</c:v>
                </c:pt>
                <c:pt idx="174">
                  <c:v>53.480000000000004</c:v>
                </c:pt>
                <c:pt idx="175">
                  <c:v>64.38</c:v>
                </c:pt>
                <c:pt idx="176">
                  <c:v>58.68</c:v>
                </c:pt>
                <c:pt idx="177">
                  <c:v>40.04</c:v>
                </c:pt>
                <c:pt idx="178">
                  <c:v>63.339999999999996</c:v>
                </c:pt>
                <c:pt idx="179">
                  <c:v>41.12</c:v>
                </c:pt>
                <c:pt idx="180">
                  <c:v>36.32</c:v>
                </c:pt>
                <c:pt idx="181">
                  <c:v>52.7</c:v>
                </c:pt>
                <c:pt idx="182">
                  <c:v>18.240000000000002</c:v>
                </c:pt>
                <c:pt idx="183">
                  <c:v>65.52000000000001</c:v>
                </c:pt>
                <c:pt idx="184">
                  <c:v>58.760000000000005</c:v>
                </c:pt>
                <c:pt idx="185">
                  <c:v>46</c:v>
                </c:pt>
                <c:pt idx="186">
                  <c:v>35.9</c:v>
                </c:pt>
                <c:pt idx="187">
                  <c:v>41.22</c:v>
                </c:pt>
                <c:pt idx="188">
                  <c:v>59.2</c:v>
                </c:pt>
                <c:pt idx="189">
                  <c:v>6.74</c:v>
                </c:pt>
                <c:pt idx="190">
                  <c:v>15.9</c:v>
                </c:pt>
                <c:pt idx="191">
                  <c:v>21.1</c:v>
                </c:pt>
                <c:pt idx="192">
                  <c:v>12.44</c:v>
                </c:pt>
                <c:pt idx="193">
                  <c:v>41.36</c:v>
                </c:pt>
                <c:pt idx="194">
                  <c:v>32.94</c:v>
                </c:pt>
                <c:pt idx="195">
                  <c:v>14.64</c:v>
                </c:pt>
                <c:pt idx="196">
                  <c:v>27.84</c:v>
                </c:pt>
                <c:pt idx="197">
                  <c:v>44.4</c:v>
                </c:pt>
                <c:pt idx="198">
                  <c:v>57.720000000000006</c:v>
                </c:pt>
                <c:pt idx="199">
                  <c:v>52.42</c:v>
                </c:pt>
              </c:numCache>
            </c:numRef>
          </c:xVal>
          <c:yVal>
            <c:numRef>
              <c:f>ÖDEV!$G$2:$G$1020</c:f>
              <c:numCache>
                <c:formatCode>General</c:formatCode>
                <c:ptCount val="1019"/>
                <c:pt idx="0">
                  <c:v>71</c:v>
                </c:pt>
                <c:pt idx="1">
                  <c:v>71</c:v>
                </c:pt>
                <c:pt idx="2">
                  <c:v>28</c:v>
                </c:pt>
                <c:pt idx="3">
                  <c:v>83</c:v>
                </c:pt>
                <c:pt idx="4">
                  <c:v>86</c:v>
                </c:pt>
                <c:pt idx="5">
                  <c:v>81</c:v>
                </c:pt>
                <c:pt idx="6">
                  <c:v>86</c:v>
                </c:pt>
                <c:pt idx="7">
                  <c:v>62</c:v>
                </c:pt>
                <c:pt idx="8">
                  <c:v>78</c:v>
                </c:pt>
                <c:pt idx="9">
                  <c:v>109</c:v>
                </c:pt>
                <c:pt idx="10">
                  <c:v>54</c:v>
                </c:pt>
                <c:pt idx="11">
                  <c:v>54</c:v>
                </c:pt>
                <c:pt idx="12">
                  <c:v>35</c:v>
                </c:pt>
                <c:pt idx="13">
                  <c:v>77</c:v>
                </c:pt>
                <c:pt idx="14">
                  <c:v>93</c:v>
                </c:pt>
                <c:pt idx="15">
                  <c:v>98</c:v>
                </c:pt>
                <c:pt idx="16">
                  <c:v>95</c:v>
                </c:pt>
                <c:pt idx="17">
                  <c:v>122</c:v>
                </c:pt>
                <c:pt idx="18">
                  <c:v>90</c:v>
                </c:pt>
                <c:pt idx="19">
                  <c:v>95</c:v>
                </c:pt>
                <c:pt idx="20">
                  <c:v>90</c:v>
                </c:pt>
                <c:pt idx="21">
                  <c:v>89</c:v>
                </c:pt>
                <c:pt idx="22">
                  <c:v>85</c:v>
                </c:pt>
                <c:pt idx="23">
                  <c:v>105</c:v>
                </c:pt>
                <c:pt idx="24">
                  <c:v>62</c:v>
                </c:pt>
                <c:pt idx="25">
                  <c:v>96</c:v>
                </c:pt>
                <c:pt idx="26">
                  <c:v>83</c:v>
                </c:pt>
                <c:pt idx="27">
                  <c:v>123</c:v>
                </c:pt>
                <c:pt idx="28">
                  <c:v>124</c:v>
                </c:pt>
                <c:pt idx="29">
                  <c:v>111</c:v>
                </c:pt>
                <c:pt idx="30">
                  <c:v>114</c:v>
                </c:pt>
                <c:pt idx="31">
                  <c:v>91</c:v>
                </c:pt>
                <c:pt idx="32">
                  <c:v>124</c:v>
                </c:pt>
                <c:pt idx="33">
                  <c:v>74</c:v>
                </c:pt>
                <c:pt idx="34">
                  <c:v>127</c:v>
                </c:pt>
                <c:pt idx="35">
                  <c:v>123</c:v>
                </c:pt>
                <c:pt idx="36">
                  <c:v>104</c:v>
                </c:pt>
                <c:pt idx="37">
                  <c:v>106</c:v>
                </c:pt>
                <c:pt idx="38">
                  <c:v>110</c:v>
                </c:pt>
                <c:pt idx="39">
                  <c:v>114</c:v>
                </c:pt>
                <c:pt idx="40">
                  <c:v>83</c:v>
                </c:pt>
                <c:pt idx="41">
                  <c:v>128</c:v>
                </c:pt>
                <c:pt idx="42">
                  <c:v>105</c:v>
                </c:pt>
                <c:pt idx="43">
                  <c:v>126</c:v>
                </c:pt>
                <c:pt idx="44">
                  <c:v>152</c:v>
                </c:pt>
                <c:pt idx="45">
                  <c:v>116</c:v>
                </c:pt>
                <c:pt idx="46">
                  <c:v>119</c:v>
                </c:pt>
                <c:pt idx="47">
                  <c:v>151</c:v>
                </c:pt>
                <c:pt idx="48">
                  <c:v>120</c:v>
                </c:pt>
                <c:pt idx="49">
                  <c:v>112</c:v>
                </c:pt>
                <c:pt idx="50">
                  <c:v>110</c:v>
                </c:pt>
                <c:pt idx="51">
                  <c:v>113</c:v>
                </c:pt>
                <c:pt idx="52">
                  <c:v>116</c:v>
                </c:pt>
                <c:pt idx="53">
                  <c:v>122</c:v>
                </c:pt>
                <c:pt idx="54">
                  <c:v>109</c:v>
                </c:pt>
                <c:pt idx="55">
                  <c:v>149</c:v>
                </c:pt>
                <c:pt idx="56">
                  <c:v>95</c:v>
                </c:pt>
                <c:pt idx="57">
                  <c:v>177</c:v>
                </c:pt>
                <c:pt idx="58">
                  <c:v>133</c:v>
                </c:pt>
                <c:pt idx="59">
                  <c:v>91.5</c:v>
                </c:pt>
                <c:pt idx="60">
                  <c:v>152</c:v>
                </c:pt>
                <c:pt idx="61">
                  <c:v>149</c:v>
                </c:pt>
                <c:pt idx="62">
                  <c:v>108</c:v>
                </c:pt>
                <c:pt idx="63">
                  <c:v>173</c:v>
                </c:pt>
                <c:pt idx="64">
                  <c:v>113</c:v>
                </c:pt>
                <c:pt idx="65">
                  <c:v>104</c:v>
                </c:pt>
                <c:pt idx="66">
                  <c:v>187</c:v>
                </c:pt>
                <c:pt idx="67">
                  <c:v>294</c:v>
                </c:pt>
                <c:pt idx="68">
                  <c:v>147</c:v>
                </c:pt>
                <c:pt idx="69">
                  <c:v>116</c:v>
                </c:pt>
                <c:pt idx="70">
                  <c:v>183</c:v>
                </c:pt>
                <c:pt idx="71">
                  <c:v>180</c:v>
                </c:pt>
                <c:pt idx="72">
                  <c:v>132</c:v>
                </c:pt>
                <c:pt idx="73">
                  <c:v>117</c:v>
                </c:pt>
                <c:pt idx="74">
                  <c:v>140</c:v>
                </c:pt>
                <c:pt idx="75">
                  <c:v>112</c:v>
                </c:pt>
                <c:pt idx="76">
                  <c:v>172</c:v>
                </c:pt>
                <c:pt idx="77">
                  <c:v>127</c:v>
                </c:pt>
                <c:pt idx="78">
                  <c:v>129</c:v>
                </c:pt>
                <c:pt idx="79">
                  <c:v>117</c:v>
                </c:pt>
                <c:pt idx="80">
                  <c:v>135</c:v>
                </c:pt>
                <c:pt idx="81">
                  <c:v>152</c:v>
                </c:pt>
                <c:pt idx="82">
                  <c:v>123</c:v>
                </c:pt>
                <c:pt idx="83">
                  <c:v>120</c:v>
                </c:pt>
                <c:pt idx="84">
                  <c:v>125</c:v>
                </c:pt>
                <c:pt idx="85">
                  <c:v>197</c:v>
                </c:pt>
                <c:pt idx="86">
                  <c:v>93</c:v>
                </c:pt>
                <c:pt idx="87">
                  <c:v>138</c:v>
                </c:pt>
                <c:pt idx="88">
                  <c:v>148</c:v>
                </c:pt>
                <c:pt idx="89">
                  <c:v>184</c:v>
                </c:pt>
                <c:pt idx="90">
                  <c:v>133</c:v>
                </c:pt>
                <c:pt idx="91">
                  <c:v>171</c:v>
                </c:pt>
                <c:pt idx="92">
                  <c:v>193</c:v>
                </c:pt>
                <c:pt idx="93">
                  <c:v>108</c:v>
                </c:pt>
                <c:pt idx="94">
                  <c:v>163</c:v>
                </c:pt>
                <c:pt idx="95">
                  <c:v>108</c:v>
                </c:pt>
                <c:pt idx="96">
                  <c:v>129</c:v>
                </c:pt>
                <c:pt idx="97">
                  <c:v>208</c:v>
                </c:pt>
                <c:pt idx="98">
                  <c:v>196</c:v>
                </c:pt>
                <c:pt idx="99">
                  <c:v>129</c:v>
                </c:pt>
                <c:pt idx="100">
                  <c:v>163</c:v>
                </c:pt>
                <c:pt idx="101">
                  <c:v>167</c:v>
                </c:pt>
                <c:pt idx="102">
                  <c:v>159</c:v>
                </c:pt>
                <c:pt idx="103">
                  <c:v>111</c:v>
                </c:pt>
                <c:pt idx="104">
                  <c:v>131</c:v>
                </c:pt>
                <c:pt idx="105">
                  <c:v>186</c:v>
                </c:pt>
                <c:pt idx="106">
                  <c:v>169</c:v>
                </c:pt>
                <c:pt idx="107">
                  <c:v>175</c:v>
                </c:pt>
                <c:pt idx="108">
                  <c:v>240</c:v>
                </c:pt>
                <c:pt idx="109">
                  <c:v>119</c:v>
                </c:pt>
                <c:pt idx="110">
                  <c:v>135</c:v>
                </c:pt>
                <c:pt idx="111">
                  <c:v>186</c:v>
                </c:pt>
                <c:pt idx="112">
                  <c:v>204</c:v>
                </c:pt>
                <c:pt idx="113">
                  <c:v>225</c:v>
                </c:pt>
                <c:pt idx="114">
                  <c:v>168</c:v>
                </c:pt>
                <c:pt idx="115">
                  <c:v>165</c:v>
                </c:pt>
                <c:pt idx="116">
                  <c:v>240</c:v>
                </c:pt>
                <c:pt idx="117">
                  <c:v>159</c:v>
                </c:pt>
                <c:pt idx="118">
                  <c:v>168</c:v>
                </c:pt>
                <c:pt idx="119">
                  <c:v>163</c:v>
                </c:pt>
                <c:pt idx="120">
                  <c:v>166</c:v>
                </c:pt>
                <c:pt idx="121">
                  <c:v>122</c:v>
                </c:pt>
                <c:pt idx="122">
                  <c:v>235</c:v>
                </c:pt>
                <c:pt idx="123">
                  <c:v>139</c:v>
                </c:pt>
                <c:pt idx="124">
                  <c:v>159</c:v>
                </c:pt>
                <c:pt idx="125">
                  <c:v>191</c:v>
                </c:pt>
                <c:pt idx="126">
                  <c:v>196</c:v>
                </c:pt>
                <c:pt idx="127">
                  <c:v>167</c:v>
                </c:pt>
                <c:pt idx="128">
                  <c:v>185</c:v>
                </c:pt>
                <c:pt idx="129">
                  <c:v>179</c:v>
                </c:pt>
                <c:pt idx="130">
                  <c:v>223</c:v>
                </c:pt>
                <c:pt idx="131">
                  <c:v>125</c:v>
                </c:pt>
                <c:pt idx="132">
                  <c:v>174</c:v>
                </c:pt>
                <c:pt idx="133">
                  <c:v>228</c:v>
                </c:pt>
                <c:pt idx="134">
                  <c:v>137</c:v>
                </c:pt>
                <c:pt idx="135">
                  <c:v>149</c:v>
                </c:pt>
                <c:pt idx="136">
                  <c:v>132</c:v>
                </c:pt>
                <c:pt idx="137">
                  <c:v>188</c:v>
                </c:pt>
                <c:pt idx="138">
                  <c:v>294</c:v>
                </c:pt>
                <c:pt idx="139">
                  <c:v>129</c:v>
                </c:pt>
                <c:pt idx="140">
                  <c:v>229</c:v>
                </c:pt>
                <c:pt idx="141">
                  <c:v>127</c:v>
                </c:pt>
                <c:pt idx="142">
                  <c:v>207</c:v>
                </c:pt>
                <c:pt idx="143">
                  <c:v>168</c:v>
                </c:pt>
                <c:pt idx="144">
                  <c:v>239</c:v>
                </c:pt>
                <c:pt idx="145">
                  <c:v>175</c:v>
                </c:pt>
                <c:pt idx="146">
                  <c:v>218</c:v>
                </c:pt>
                <c:pt idx="147">
                  <c:v>186</c:v>
                </c:pt>
                <c:pt idx="148">
                  <c:v>265</c:v>
                </c:pt>
                <c:pt idx="149">
                  <c:v>187</c:v>
                </c:pt>
                <c:pt idx="150">
                  <c:v>151.5</c:v>
                </c:pt>
                <c:pt idx="151">
                  <c:v>149</c:v>
                </c:pt>
                <c:pt idx="152">
                  <c:v>137</c:v>
                </c:pt>
                <c:pt idx="153">
                  <c:v>196</c:v>
                </c:pt>
                <c:pt idx="154">
                  <c:v>201</c:v>
                </c:pt>
                <c:pt idx="155">
                  <c:v>139</c:v>
                </c:pt>
                <c:pt idx="156">
                  <c:v>124</c:v>
                </c:pt>
                <c:pt idx="157">
                  <c:v>199</c:v>
                </c:pt>
                <c:pt idx="158">
                  <c:v>245</c:v>
                </c:pt>
                <c:pt idx="159">
                  <c:v>183</c:v>
                </c:pt>
                <c:pt idx="160">
                  <c:v>127</c:v>
                </c:pt>
                <c:pt idx="161">
                  <c:v>230</c:v>
                </c:pt>
                <c:pt idx="162">
                  <c:v>170</c:v>
                </c:pt>
                <c:pt idx="163">
                  <c:v>264</c:v>
                </c:pt>
                <c:pt idx="164">
                  <c:v>150</c:v>
                </c:pt>
                <c:pt idx="165">
                  <c:v>208</c:v>
                </c:pt>
                <c:pt idx="166">
                  <c:v>142</c:v>
                </c:pt>
                <c:pt idx="167">
                  <c:v>147</c:v>
                </c:pt>
                <c:pt idx="168">
                  <c:v>221</c:v>
                </c:pt>
                <c:pt idx="169">
                  <c:v>236</c:v>
                </c:pt>
                <c:pt idx="170">
                  <c:v>225</c:v>
                </c:pt>
                <c:pt idx="171">
                  <c:v>256</c:v>
                </c:pt>
                <c:pt idx="172">
                  <c:v>131</c:v>
                </c:pt>
                <c:pt idx="173">
                  <c:v>235.5</c:v>
                </c:pt>
                <c:pt idx="174">
                  <c:v>216</c:v>
                </c:pt>
                <c:pt idx="175">
                  <c:v>210</c:v>
                </c:pt>
                <c:pt idx="176">
                  <c:v>188</c:v>
                </c:pt>
                <c:pt idx="177">
                  <c:v>167</c:v>
                </c:pt>
                <c:pt idx="178">
                  <c:v>139</c:v>
                </c:pt>
                <c:pt idx="179">
                  <c:v>231</c:v>
                </c:pt>
                <c:pt idx="180">
                  <c:v>162</c:v>
                </c:pt>
                <c:pt idx="181">
                  <c:v>184</c:v>
                </c:pt>
                <c:pt idx="182">
                  <c:v>240</c:v>
                </c:pt>
                <c:pt idx="183">
                  <c:v>129</c:v>
                </c:pt>
                <c:pt idx="184">
                  <c:v>258</c:v>
                </c:pt>
                <c:pt idx="185">
                  <c:v>220</c:v>
                </c:pt>
                <c:pt idx="186">
                  <c:v>254</c:v>
                </c:pt>
                <c:pt idx="187">
                  <c:v>131</c:v>
                </c:pt>
                <c:pt idx="188">
                  <c:v>158</c:v>
                </c:pt>
                <c:pt idx="189">
                  <c:v>271</c:v>
                </c:pt>
                <c:pt idx="190">
                  <c:v>257</c:v>
                </c:pt>
                <c:pt idx="191">
                  <c:v>272</c:v>
                </c:pt>
                <c:pt idx="192">
                  <c:v>166</c:v>
                </c:pt>
                <c:pt idx="193">
                  <c:v>226</c:v>
                </c:pt>
                <c:pt idx="194">
                  <c:v>92</c:v>
                </c:pt>
                <c:pt idx="195">
                  <c:v>135</c:v>
                </c:pt>
                <c:pt idx="196">
                  <c:v>126</c:v>
                </c:pt>
                <c:pt idx="197">
                  <c:v>128</c:v>
                </c:pt>
                <c:pt idx="198">
                  <c:v>118</c:v>
                </c:pt>
                <c:pt idx="199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1B-4D76-A59B-2451C547C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635264"/>
        <c:axId val="995633824"/>
      </c:scatterChart>
      <c:valAx>
        <c:axId val="99563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33824"/>
        <c:crosses val="autoZero"/>
        <c:crossBetween val="midCat"/>
      </c:valAx>
      <c:valAx>
        <c:axId val="9956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3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TIKTOK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ÖDEV!$G$1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ÖDEV!$F$2:$F$1000</c:f>
              <c:numCache>
                <c:formatCode>General</c:formatCode>
                <c:ptCount val="999"/>
                <c:pt idx="0">
                  <c:v>14.229999999999993</c:v>
                </c:pt>
                <c:pt idx="1">
                  <c:v>6.0599999999999952</c:v>
                </c:pt>
                <c:pt idx="2">
                  <c:v>16.95</c:v>
                </c:pt>
                <c:pt idx="3">
                  <c:v>12.399999999999995</c:v>
                </c:pt>
                <c:pt idx="4">
                  <c:v>0.12000000000000455</c:v>
                </c:pt>
                <c:pt idx="5">
                  <c:v>15.32</c:v>
                </c:pt>
                <c:pt idx="6">
                  <c:v>12.749999999999998</c:v>
                </c:pt>
                <c:pt idx="7">
                  <c:v>17.18</c:v>
                </c:pt>
                <c:pt idx="8">
                  <c:v>1.5100000000000002</c:v>
                </c:pt>
                <c:pt idx="9">
                  <c:v>12.8</c:v>
                </c:pt>
                <c:pt idx="10">
                  <c:v>19.829999999999998</c:v>
                </c:pt>
                <c:pt idx="11">
                  <c:v>31.869999999999997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18.459999999999997</c:v>
                </c:pt>
                <c:pt idx="15">
                  <c:v>22.23</c:v>
                </c:pt>
                <c:pt idx="16">
                  <c:v>23.379999999999995</c:v>
                </c:pt>
                <c:pt idx="17">
                  <c:v>25.619999999999997</c:v>
                </c:pt>
                <c:pt idx="18">
                  <c:v>9.8500000000000014</c:v>
                </c:pt>
                <c:pt idx="19">
                  <c:v>19.04</c:v>
                </c:pt>
                <c:pt idx="20">
                  <c:v>14.329999999999998</c:v>
                </c:pt>
                <c:pt idx="21">
                  <c:v>16.89</c:v>
                </c:pt>
                <c:pt idx="22">
                  <c:v>9.4299999999999962</c:v>
                </c:pt>
                <c:pt idx="23">
                  <c:v>20.8</c:v>
                </c:pt>
                <c:pt idx="24">
                  <c:v>5.2099999999999991</c:v>
                </c:pt>
                <c:pt idx="25">
                  <c:v>20.239999999999998</c:v>
                </c:pt>
                <c:pt idx="26">
                  <c:v>23.900000000000002</c:v>
                </c:pt>
                <c:pt idx="27">
                  <c:v>23.2</c:v>
                </c:pt>
                <c:pt idx="28">
                  <c:v>29.270000000000007</c:v>
                </c:pt>
                <c:pt idx="29">
                  <c:v>18.739999999999998</c:v>
                </c:pt>
                <c:pt idx="30">
                  <c:v>26.159999999999997</c:v>
                </c:pt>
                <c:pt idx="31">
                  <c:v>37.253750000000011</c:v>
                </c:pt>
                <c:pt idx="32">
                  <c:v>18.47</c:v>
                </c:pt>
                <c:pt idx="33">
                  <c:v>36.440000000000005</c:v>
                </c:pt>
                <c:pt idx="34">
                  <c:v>7.3099999999999987</c:v>
                </c:pt>
                <c:pt idx="35">
                  <c:v>27.72</c:v>
                </c:pt>
                <c:pt idx="36">
                  <c:v>41.756249999999994</c:v>
                </c:pt>
                <c:pt idx="37">
                  <c:v>13.89</c:v>
                </c:pt>
                <c:pt idx="38">
                  <c:v>3.6199999999999992</c:v>
                </c:pt>
                <c:pt idx="39">
                  <c:v>28.850000000000005</c:v>
                </c:pt>
                <c:pt idx="40">
                  <c:v>18.759999999999998</c:v>
                </c:pt>
                <c:pt idx="41">
                  <c:v>18.919999999999995</c:v>
                </c:pt>
                <c:pt idx="42">
                  <c:v>41.756249999999994</c:v>
                </c:pt>
                <c:pt idx="43">
                  <c:v>14.33</c:v>
                </c:pt>
                <c:pt idx="44">
                  <c:v>18.04</c:v>
                </c:pt>
                <c:pt idx="45">
                  <c:v>16.159999999999997</c:v>
                </c:pt>
                <c:pt idx="46">
                  <c:v>19.64</c:v>
                </c:pt>
                <c:pt idx="47">
                  <c:v>37.340000000000003</c:v>
                </c:pt>
                <c:pt idx="48">
                  <c:v>10.659999999999997</c:v>
                </c:pt>
                <c:pt idx="49">
                  <c:v>17.82</c:v>
                </c:pt>
                <c:pt idx="50">
                  <c:v>7.6899999999999995</c:v>
                </c:pt>
                <c:pt idx="51">
                  <c:v>13.4</c:v>
                </c:pt>
                <c:pt idx="52">
                  <c:v>26.65</c:v>
                </c:pt>
                <c:pt idx="53">
                  <c:v>17.879999999999995</c:v>
                </c:pt>
                <c:pt idx="54">
                  <c:v>34.31</c:v>
                </c:pt>
                <c:pt idx="55">
                  <c:v>20.590000000000003</c:v>
                </c:pt>
                <c:pt idx="56">
                  <c:v>18.220000000000002</c:v>
                </c:pt>
                <c:pt idx="57">
                  <c:v>16.579999999999998</c:v>
                </c:pt>
                <c:pt idx="58">
                  <c:v>30.8</c:v>
                </c:pt>
                <c:pt idx="59">
                  <c:v>32.1</c:v>
                </c:pt>
                <c:pt idx="60">
                  <c:v>17.79</c:v>
                </c:pt>
                <c:pt idx="61">
                  <c:v>25.6</c:v>
                </c:pt>
                <c:pt idx="62">
                  <c:v>20.759999999999998</c:v>
                </c:pt>
                <c:pt idx="63">
                  <c:v>21.71</c:v>
                </c:pt>
                <c:pt idx="64">
                  <c:v>22.949999999999996</c:v>
                </c:pt>
                <c:pt idx="65">
                  <c:v>11.190000000000001</c:v>
                </c:pt>
                <c:pt idx="66">
                  <c:v>14.57</c:v>
                </c:pt>
                <c:pt idx="67">
                  <c:v>17.100000000000001</c:v>
                </c:pt>
                <c:pt idx="68">
                  <c:v>33.090000000000003</c:v>
                </c:pt>
                <c:pt idx="69">
                  <c:v>32.749999999999993</c:v>
                </c:pt>
                <c:pt idx="70">
                  <c:v>19.729999999999997</c:v>
                </c:pt>
                <c:pt idx="71">
                  <c:v>5.4500000000000028</c:v>
                </c:pt>
                <c:pt idx="72">
                  <c:v>11.459999999999999</c:v>
                </c:pt>
                <c:pt idx="73">
                  <c:v>3.2699999999999996</c:v>
                </c:pt>
                <c:pt idx="74">
                  <c:v>28.4</c:v>
                </c:pt>
                <c:pt idx="75">
                  <c:v>7.7799999999999976</c:v>
                </c:pt>
                <c:pt idx="76">
                  <c:v>15.27</c:v>
                </c:pt>
                <c:pt idx="77">
                  <c:v>20.62</c:v>
                </c:pt>
                <c:pt idx="78">
                  <c:v>11.729999999999999</c:v>
                </c:pt>
                <c:pt idx="79">
                  <c:v>6.2099999999999991</c:v>
                </c:pt>
                <c:pt idx="80">
                  <c:v>12.070000000000002</c:v>
                </c:pt>
                <c:pt idx="81">
                  <c:v>11.270000000000001</c:v>
                </c:pt>
                <c:pt idx="82">
                  <c:v>4.68</c:v>
                </c:pt>
                <c:pt idx="83">
                  <c:v>14.849999999999998</c:v>
                </c:pt>
                <c:pt idx="84">
                  <c:v>29.330000000000002</c:v>
                </c:pt>
                <c:pt idx="85">
                  <c:v>2.2399999999999984</c:v>
                </c:pt>
                <c:pt idx="86">
                  <c:v>14.979999999999999</c:v>
                </c:pt>
                <c:pt idx="87">
                  <c:v>6.09</c:v>
                </c:pt>
                <c:pt idx="88">
                  <c:v>12.219999999999995</c:v>
                </c:pt>
                <c:pt idx="89">
                  <c:v>14.319999999999993</c:v>
                </c:pt>
                <c:pt idx="90">
                  <c:v>12.160000000000002</c:v>
                </c:pt>
                <c:pt idx="91">
                  <c:v>10.41</c:v>
                </c:pt>
                <c:pt idx="92">
                  <c:v>14.919999999999995</c:v>
                </c:pt>
                <c:pt idx="93">
                  <c:v>14.420000000000002</c:v>
                </c:pt>
                <c:pt idx="94">
                  <c:v>13.380000000000003</c:v>
                </c:pt>
                <c:pt idx="95">
                  <c:v>10.970000000000002</c:v>
                </c:pt>
                <c:pt idx="96">
                  <c:v>19.149999999999999</c:v>
                </c:pt>
                <c:pt idx="97">
                  <c:v>20.190000000000001</c:v>
                </c:pt>
                <c:pt idx="98">
                  <c:v>29.639999999999993</c:v>
                </c:pt>
                <c:pt idx="99">
                  <c:v>16.010000000000005</c:v>
                </c:pt>
                <c:pt idx="100">
                  <c:v>4.4699999999999989</c:v>
                </c:pt>
                <c:pt idx="101">
                  <c:v>10.339999999999989</c:v>
                </c:pt>
                <c:pt idx="102">
                  <c:v>24.509999999999998</c:v>
                </c:pt>
                <c:pt idx="103">
                  <c:v>20.23</c:v>
                </c:pt>
                <c:pt idx="104">
                  <c:v>38.85</c:v>
                </c:pt>
                <c:pt idx="105">
                  <c:v>13.39</c:v>
                </c:pt>
                <c:pt idx="106">
                  <c:v>16.119999999999997</c:v>
                </c:pt>
                <c:pt idx="107">
                  <c:v>19.910000000000004</c:v>
                </c:pt>
                <c:pt idx="108">
                  <c:v>11.269999999999998</c:v>
                </c:pt>
                <c:pt idx="109">
                  <c:v>36.789999999999992</c:v>
                </c:pt>
                <c:pt idx="110">
                  <c:v>4.0799999999999983</c:v>
                </c:pt>
                <c:pt idx="111">
                  <c:v>33.89</c:v>
                </c:pt>
                <c:pt idx="112">
                  <c:v>24.31</c:v>
                </c:pt>
                <c:pt idx="113">
                  <c:v>26.98</c:v>
                </c:pt>
                <c:pt idx="114">
                  <c:v>17.419999999999998</c:v>
                </c:pt>
                <c:pt idx="115">
                  <c:v>3.9299999999999962</c:v>
                </c:pt>
                <c:pt idx="116">
                  <c:v>10.829999999999998</c:v>
                </c:pt>
                <c:pt idx="117">
                  <c:v>2.12</c:v>
                </c:pt>
                <c:pt idx="118">
                  <c:v>19.339999999999996</c:v>
                </c:pt>
                <c:pt idx="119">
                  <c:v>1.0199999999999996</c:v>
                </c:pt>
                <c:pt idx="120">
                  <c:v>9.0500000000000007</c:v>
                </c:pt>
                <c:pt idx="121">
                  <c:v>12.57</c:v>
                </c:pt>
                <c:pt idx="122">
                  <c:v>17.36</c:v>
                </c:pt>
                <c:pt idx="123">
                  <c:v>24.65</c:v>
                </c:pt>
                <c:pt idx="124">
                  <c:v>9.419999999999991</c:v>
                </c:pt>
                <c:pt idx="125">
                  <c:v>4.2600000000000016</c:v>
                </c:pt>
                <c:pt idx="126">
                  <c:v>19.989999999999998</c:v>
                </c:pt>
                <c:pt idx="127">
                  <c:v>31.35</c:v>
                </c:pt>
                <c:pt idx="128">
                  <c:v>41.756249999999994</c:v>
                </c:pt>
                <c:pt idx="129">
                  <c:v>14.719999999999999</c:v>
                </c:pt>
                <c:pt idx="130">
                  <c:v>41.756249999999994</c:v>
                </c:pt>
                <c:pt idx="131">
                  <c:v>10.77</c:v>
                </c:pt>
                <c:pt idx="132">
                  <c:v>13.6</c:v>
                </c:pt>
                <c:pt idx="133">
                  <c:v>20.69</c:v>
                </c:pt>
                <c:pt idx="134">
                  <c:v>16.750000000000004</c:v>
                </c:pt>
                <c:pt idx="135">
                  <c:v>24.93</c:v>
                </c:pt>
                <c:pt idx="136">
                  <c:v>18.339999999999996</c:v>
                </c:pt>
                <c:pt idx="137">
                  <c:v>17.939999999999991</c:v>
                </c:pt>
                <c:pt idx="138">
                  <c:v>9.0499999999999989</c:v>
                </c:pt>
                <c:pt idx="139">
                  <c:v>39.76</c:v>
                </c:pt>
                <c:pt idx="140">
                  <c:v>10.68</c:v>
                </c:pt>
                <c:pt idx="141">
                  <c:v>6.8299999999999947</c:v>
                </c:pt>
                <c:pt idx="142">
                  <c:v>23.490000000000006</c:v>
                </c:pt>
                <c:pt idx="143">
                  <c:v>19.549999999999997</c:v>
                </c:pt>
                <c:pt idx="144">
                  <c:v>1.4600000000000026</c:v>
                </c:pt>
                <c:pt idx="145">
                  <c:v>11.38</c:v>
                </c:pt>
                <c:pt idx="146">
                  <c:v>24.179999999999996</c:v>
                </c:pt>
                <c:pt idx="147">
                  <c:v>31.1</c:v>
                </c:pt>
                <c:pt idx="148">
                  <c:v>19.189999999999998</c:v>
                </c:pt>
                <c:pt idx="149">
                  <c:v>9.1300000000000008</c:v>
                </c:pt>
                <c:pt idx="150">
                  <c:v>20.220000000000002</c:v>
                </c:pt>
                <c:pt idx="151">
                  <c:v>16.819999999999997</c:v>
                </c:pt>
                <c:pt idx="152">
                  <c:v>25.729999999999997</c:v>
                </c:pt>
                <c:pt idx="153">
                  <c:v>21.900000000000002</c:v>
                </c:pt>
                <c:pt idx="154">
                  <c:v>25.53</c:v>
                </c:pt>
                <c:pt idx="155">
                  <c:v>41.756249999999994</c:v>
                </c:pt>
                <c:pt idx="156">
                  <c:v>10.939999999999998</c:v>
                </c:pt>
                <c:pt idx="157">
                  <c:v>5.91</c:v>
                </c:pt>
                <c:pt idx="158">
                  <c:v>1.5399999999999956</c:v>
                </c:pt>
                <c:pt idx="159">
                  <c:v>8.5299999999999958</c:v>
                </c:pt>
                <c:pt idx="160">
                  <c:v>14.02</c:v>
                </c:pt>
                <c:pt idx="161">
                  <c:v>6.75</c:v>
                </c:pt>
                <c:pt idx="162">
                  <c:v>17.649999999999999</c:v>
                </c:pt>
                <c:pt idx="163">
                  <c:v>31.79</c:v>
                </c:pt>
                <c:pt idx="164">
                  <c:v>16.91</c:v>
                </c:pt>
                <c:pt idx="165">
                  <c:v>11.229999999999997</c:v>
                </c:pt>
                <c:pt idx="166">
                  <c:v>11.95</c:v>
                </c:pt>
                <c:pt idx="167">
                  <c:v>15.520000000000001</c:v>
                </c:pt>
                <c:pt idx="168">
                  <c:v>10.3</c:v>
                </c:pt>
                <c:pt idx="169">
                  <c:v>31.169999999999995</c:v>
                </c:pt>
                <c:pt idx="170">
                  <c:v>3.4400000000000013</c:v>
                </c:pt>
                <c:pt idx="171">
                  <c:v>7.9399999999999977</c:v>
                </c:pt>
                <c:pt idx="172">
                  <c:v>5.2100000000000009</c:v>
                </c:pt>
                <c:pt idx="173">
                  <c:v>15.27</c:v>
                </c:pt>
                <c:pt idx="174">
                  <c:v>18.700000000000003</c:v>
                </c:pt>
                <c:pt idx="175">
                  <c:v>35.42</c:v>
                </c:pt>
                <c:pt idx="176">
                  <c:v>31.819999999999997</c:v>
                </c:pt>
                <c:pt idx="177">
                  <c:v>41.756249999999994</c:v>
                </c:pt>
                <c:pt idx="178">
                  <c:v>19.339999999999996</c:v>
                </c:pt>
                <c:pt idx="179">
                  <c:v>14.519999999999998</c:v>
                </c:pt>
                <c:pt idx="180">
                  <c:v>13.64</c:v>
                </c:pt>
                <c:pt idx="181">
                  <c:v>13.59</c:v>
                </c:pt>
                <c:pt idx="182">
                  <c:v>16.59</c:v>
                </c:pt>
                <c:pt idx="183">
                  <c:v>21.540000000000006</c:v>
                </c:pt>
                <c:pt idx="184">
                  <c:v>24.03</c:v>
                </c:pt>
                <c:pt idx="185">
                  <c:v>35.209999999999994</c:v>
                </c:pt>
                <c:pt idx="186">
                  <c:v>4.3599999999999994</c:v>
                </c:pt>
                <c:pt idx="187">
                  <c:v>26.18</c:v>
                </c:pt>
                <c:pt idx="188">
                  <c:v>34.070000000000007</c:v>
                </c:pt>
                <c:pt idx="189">
                  <c:v>18.560000000000002</c:v>
                </c:pt>
                <c:pt idx="190">
                  <c:v>22.18</c:v>
                </c:pt>
                <c:pt idx="191">
                  <c:v>10.549999999999999</c:v>
                </c:pt>
                <c:pt idx="192">
                  <c:v>11.129999999999999</c:v>
                </c:pt>
                <c:pt idx="193">
                  <c:v>36.24</c:v>
                </c:pt>
                <c:pt idx="194">
                  <c:v>17.100000000000001</c:v>
                </c:pt>
                <c:pt idx="195">
                  <c:v>0.14999999999999947</c:v>
                </c:pt>
                <c:pt idx="196">
                  <c:v>8.6300000000000008</c:v>
                </c:pt>
                <c:pt idx="197">
                  <c:v>19.79</c:v>
                </c:pt>
                <c:pt idx="198">
                  <c:v>22.879999999999995</c:v>
                </c:pt>
                <c:pt idx="199">
                  <c:v>1</c:v>
                </c:pt>
              </c:numCache>
            </c:numRef>
          </c:xVal>
          <c:yVal>
            <c:numRef>
              <c:f>ÖDEV!$G$2:$G$1000</c:f>
              <c:numCache>
                <c:formatCode>General</c:formatCode>
                <c:ptCount val="999"/>
                <c:pt idx="0">
                  <c:v>71</c:v>
                </c:pt>
                <c:pt idx="1">
                  <c:v>71</c:v>
                </c:pt>
                <c:pt idx="2">
                  <c:v>28</c:v>
                </c:pt>
                <c:pt idx="3">
                  <c:v>83</c:v>
                </c:pt>
                <c:pt idx="4">
                  <c:v>86</c:v>
                </c:pt>
                <c:pt idx="5">
                  <c:v>81</c:v>
                </c:pt>
                <c:pt idx="6">
                  <c:v>86</c:v>
                </c:pt>
                <c:pt idx="7">
                  <c:v>62</c:v>
                </c:pt>
                <c:pt idx="8">
                  <c:v>78</c:v>
                </c:pt>
                <c:pt idx="9">
                  <c:v>109</c:v>
                </c:pt>
                <c:pt idx="10">
                  <c:v>54</c:v>
                </c:pt>
                <c:pt idx="11">
                  <c:v>54</c:v>
                </c:pt>
                <c:pt idx="12">
                  <c:v>35</c:v>
                </c:pt>
                <c:pt idx="13">
                  <c:v>77</c:v>
                </c:pt>
                <c:pt idx="14">
                  <c:v>93</c:v>
                </c:pt>
                <c:pt idx="15">
                  <c:v>98</c:v>
                </c:pt>
                <c:pt idx="16">
                  <c:v>95</c:v>
                </c:pt>
                <c:pt idx="17">
                  <c:v>122</c:v>
                </c:pt>
                <c:pt idx="18">
                  <c:v>90</c:v>
                </c:pt>
                <c:pt idx="19">
                  <c:v>95</c:v>
                </c:pt>
                <c:pt idx="20">
                  <c:v>90</c:v>
                </c:pt>
                <c:pt idx="21">
                  <c:v>89</c:v>
                </c:pt>
                <c:pt idx="22">
                  <c:v>85</c:v>
                </c:pt>
                <c:pt idx="23">
                  <c:v>105</c:v>
                </c:pt>
                <c:pt idx="24">
                  <c:v>62</c:v>
                </c:pt>
                <c:pt idx="25">
                  <c:v>96</c:v>
                </c:pt>
                <c:pt idx="26">
                  <c:v>83</c:v>
                </c:pt>
                <c:pt idx="27">
                  <c:v>123</c:v>
                </c:pt>
                <c:pt idx="28">
                  <c:v>124</c:v>
                </c:pt>
                <c:pt idx="29">
                  <c:v>111</c:v>
                </c:pt>
                <c:pt idx="30">
                  <c:v>114</c:v>
                </c:pt>
                <c:pt idx="31">
                  <c:v>91</c:v>
                </c:pt>
                <c:pt idx="32">
                  <c:v>124</c:v>
                </c:pt>
                <c:pt idx="33">
                  <c:v>74</c:v>
                </c:pt>
                <c:pt idx="34">
                  <c:v>127</c:v>
                </c:pt>
                <c:pt idx="35">
                  <c:v>123</c:v>
                </c:pt>
                <c:pt idx="36">
                  <c:v>104</c:v>
                </c:pt>
                <c:pt idx="37">
                  <c:v>106</c:v>
                </c:pt>
                <c:pt idx="38">
                  <c:v>110</c:v>
                </c:pt>
                <c:pt idx="39">
                  <c:v>114</c:v>
                </c:pt>
                <c:pt idx="40">
                  <c:v>83</c:v>
                </c:pt>
                <c:pt idx="41">
                  <c:v>128</c:v>
                </c:pt>
                <c:pt idx="42">
                  <c:v>105</c:v>
                </c:pt>
                <c:pt idx="43">
                  <c:v>126</c:v>
                </c:pt>
                <c:pt idx="44">
                  <c:v>152</c:v>
                </c:pt>
                <c:pt idx="45">
                  <c:v>116</c:v>
                </c:pt>
                <c:pt idx="46">
                  <c:v>119</c:v>
                </c:pt>
                <c:pt idx="47">
                  <c:v>151</c:v>
                </c:pt>
                <c:pt idx="48">
                  <c:v>120</c:v>
                </c:pt>
                <c:pt idx="49">
                  <c:v>112</c:v>
                </c:pt>
                <c:pt idx="50">
                  <c:v>110</c:v>
                </c:pt>
                <c:pt idx="51">
                  <c:v>113</c:v>
                </c:pt>
                <c:pt idx="52">
                  <c:v>116</c:v>
                </c:pt>
                <c:pt idx="53">
                  <c:v>122</c:v>
                </c:pt>
                <c:pt idx="54">
                  <c:v>109</c:v>
                </c:pt>
                <c:pt idx="55">
                  <c:v>149</c:v>
                </c:pt>
                <c:pt idx="56">
                  <c:v>95</c:v>
                </c:pt>
                <c:pt idx="57">
                  <c:v>177</c:v>
                </c:pt>
                <c:pt idx="58">
                  <c:v>133</c:v>
                </c:pt>
                <c:pt idx="59">
                  <c:v>91.5</c:v>
                </c:pt>
                <c:pt idx="60">
                  <c:v>152</c:v>
                </c:pt>
                <c:pt idx="61">
                  <c:v>149</c:v>
                </c:pt>
                <c:pt idx="62">
                  <c:v>108</c:v>
                </c:pt>
                <c:pt idx="63">
                  <c:v>173</c:v>
                </c:pt>
                <c:pt idx="64">
                  <c:v>113</c:v>
                </c:pt>
                <c:pt idx="65">
                  <c:v>104</c:v>
                </c:pt>
                <c:pt idx="66">
                  <c:v>187</c:v>
                </c:pt>
                <c:pt idx="67">
                  <c:v>294</c:v>
                </c:pt>
                <c:pt idx="68">
                  <c:v>147</c:v>
                </c:pt>
                <c:pt idx="69">
                  <c:v>116</c:v>
                </c:pt>
                <c:pt idx="70">
                  <c:v>183</c:v>
                </c:pt>
                <c:pt idx="71">
                  <c:v>180</c:v>
                </c:pt>
                <c:pt idx="72">
                  <c:v>132</c:v>
                </c:pt>
                <c:pt idx="73">
                  <c:v>117</c:v>
                </c:pt>
                <c:pt idx="74">
                  <c:v>140</c:v>
                </c:pt>
                <c:pt idx="75">
                  <c:v>112</c:v>
                </c:pt>
                <c:pt idx="76">
                  <c:v>172</c:v>
                </c:pt>
                <c:pt idx="77">
                  <c:v>127</c:v>
                </c:pt>
                <c:pt idx="78">
                  <c:v>129</c:v>
                </c:pt>
                <c:pt idx="79">
                  <c:v>117</c:v>
                </c:pt>
                <c:pt idx="80">
                  <c:v>135</c:v>
                </c:pt>
                <c:pt idx="81">
                  <c:v>152</c:v>
                </c:pt>
                <c:pt idx="82">
                  <c:v>123</c:v>
                </c:pt>
                <c:pt idx="83">
                  <c:v>120</c:v>
                </c:pt>
                <c:pt idx="84">
                  <c:v>125</c:v>
                </c:pt>
                <c:pt idx="85">
                  <c:v>197</c:v>
                </c:pt>
                <c:pt idx="86">
                  <c:v>93</c:v>
                </c:pt>
                <c:pt idx="87">
                  <c:v>138</c:v>
                </c:pt>
                <c:pt idx="88">
                  <c:v>148</c:v>
                </c:pt>
                <c:pt idx="89">
                  <c:v>184</c:v>
                </c:pt>
                <c:pt idx="90">
                  <c:v>133</c:v>
                </c:pt>
                <c:pt idx="91">
                  <c:v>171</c:v>
                </c:pt>
                <c:pt idx="92">
                  <c:v>193</c:v>
                </c:pt>
                <c:pt idx="93">
                  <c:v>108</c:v>
                </c:pt>
                <c:pt idx="94">
                  <c:v>163</c:v>
                </c:pt>
                <c:pt idx="95">
                  <c:v>108</c:v>
                </c:pt>
                <c:pt idx="96">
                  <c:v>129</c:v>
                </c:pt>
                <c:pt idx="97">
                  <c:v>208</c:v>
                </c:pt>
                <c:pt idx="98">
                  <c:v>196</c:v>
                </c:pt>
                <c:pt idx="99">
                  <c:v>129</c:v>
                </c:pt>
                <c:pt idx="100">
                  <c:v>163</c:v>
                </c:pt>
                <c:pt idx="101">
                  <c:v>167</c:v>
                </c:pt>
                <c:pt idx="102">
                  <c:v>159</c:v>
                </c:pt>
                <c:pt idx="103">
                  <c:v>111</c:v>
                </c:pt>
                <c:pt idx="104">
                  <c:v>131</c:v>
                </c:pt>
                <c:pt idx="105">
                  <c:v>186</c:v>
                </c:pt>
                <c:pt idx="106">
                  <c:v>169</c:v>
                </c:pt>
                <c:pt idx="107">
                  <c:v>175</c:v>
                </c:pt>
                <c:pt idx="108">
                  <c:v>240</c:v>
                </c:pt>
                <c:pt idx="109">
                  <c:v>119</c:v>
                </c:pt>
                <c:pt idx="110">
                  <c:v>135</c:v>
                </c:pt>
                <c:pt idx="111">
                  <c:v>186</c:v>
                </c:pt>
                <c:pt idx="112">
                  <c:v>204</c:v>
                </c:pt>
                <c:pt idx="113">
                  <c:v>225</c:v>
                </c:pt>
                <c:pt idx="114">
                  <c:v>168</c:v>
                </c:pt>
                <c:pt idx="115">
                  <c:v>165</c:v>
                </c:pt>
                <c:pt idx="116">
                  <c:v>240</c:v>
                </c:pt>
                <c:pt idx="117">
                  <c:v>159</c:v>
                </c:pt>
                <c:pt idx="118">
                  <c:v>168</c:v>
                </c:pt>
                <c:pt idx="119">
                  <c:v>163</c:v>
                </c:pt>
                <c:pt idx="120">
                  <c:v>166</c:v>
                </c:pt>
                <c:pt idx="121">
                  <c:v>122</c:v>
                </c:pt>
                <c:pt idx="122">
                  <c:v>235</c:v>
                </c:pt>
                <c:pt idx="123">
                  <c:v>139</c:v>
                </c:pt>
                <c:pt idx="124">
                  <c:v>159</c:v>
                </c:pt>
                <c:pt idx="125">
                  <c:v>191</c:v>
                </c:pt>
                <c:pt idx="126">
                  <c:v>196</c:v>
                </c:pt>
                <c:pt idx="127">
                  <c:v>167</c:v>
                </c:pt>
                <c:pt idx="128">
                  <c:v>185</c:v>
                </c:pt>
                <c:pt idx="129">
                  <c:v>179</c:v>
                </c:pt>
                <c:pt idx="130">
                  <c:v>223</c:v>
                </c:pt>
                <c:pt idx="131">
                  <c:v>125</c:v>
                </c:pt>
                <c:pt idx="132">
                  <c:v>174</c:v>
                </c:pt>
                <c:pt idx="133">
                  <c:v>228</c:v>
                </c:pt>
                <c:pt idx="134">
                  <c:v>137</c:v>
                </c:pt>
                <c:pt idx="135">
                  <c:v>149</c:v>
                </c:pt>
                <c:pt idx="136">
                  <c:v>132</c:v>
                </c:pt>
                <c:pt idx="137">
                  <c:v>188</c:v>
                </c:pt>
                <c:pt idx="138">
                  <c:v>294</c:v>
                </c:pt>
                <c:pt idx="139">
                  <c:v>129</c:v>
                </c:pt>
                <c:pt idx="140">
                  <c:v>229</c:v>
                </c:pt>
                <c:pt idx="141">
                  <c:v>127</c:v>
                </c:pt>
                <c:pt idx="142">
                  <c:v>207</c:v>
                </c:pt>
                <c:pt idx="143">
                  <c:v>168</c:v>
                </c:pt>
                <c:pt idx="144">
                  <c:v>239</c:v>
                </c:pt>
                <c:pt idx="145">
                  <c:v>175</c:v>
                </c:pt>
                <c:pt idx="146">
                  <c:v>218</c:v>
                </c:pt>
                <c:pt idx="147">
                  <c:v>186</c:v>
                </c:pt>
                <c:pt idx="148">
                  <c:v>265</c:v>
                </c:pt>
                <c:pt idx="149">
                  <c:v>187</c:v>
                </c:pt>
                <c:pt idx="150">
                  <c:v>151.5</c:v>
                </c:pt>
                <c:pt idx="151">
                  <c:v>149</c:v>
                </c:pt>
                <c:pt idx="152">
                  <c:v>137</c:v>
                </c:pt>
                <c:pt idx="153">
                  <c:v>196</c:v>
                </c:pt>
                <c:pt idx="154">
                  <c:v>201</c:v>
                </c:pt>
                <c:pt idx="155">
                  <c:v>139</c:v>
                </c:pt>
                <c:pt idx="156">
                  <c:v>124</c:v>
                </c:pt>
                <c:pt idx="157">
                  <c:v>199</c:v>
                </c:pt>
                <c:pt idx="158">
                  <c:v>245</c:v>
                </c:pt>
                <c:pt idx="159">
                  <c:v>183</c:v>
                </c:pt>
                <c:pt idx="160">
                  <c:v>127</c:v>
                </c:pt>
                <c:pt idx="161">
                  <c:v>230</c:v>
                </c:pt>
                <c:pt idx="162">
                  <c:v>170</c:v>
                </c:pt>
                <c:pt idx="163">
                  <c:v>264</c:v>
                </c:pt>
                <c:pt idx="164">
                  <c:v>150</c:v>
                </c:pt>
                <c:pt idx="165">
                  <c:v>208</c:v>
                </c:pt>
                <c:pt idx="166">
                  <c:v>142</c:v>
                </c:pt>
                <c:pt idx="167">
                  <c:v>147</c:v>
                </c:pt>
                <c:pt idx="168">
                  <c:v>221</c:v>
                </c:pt>
                <c:pt idx="169">
                  <c:v>236</c:v>
                </c:pt>
                <c:pt idx="170">
                  <c:v>225</c:v>
                </c:pt>
                <c:pt idx="171">
                  <c:v>256</c:v>
                </c:pt>
                <c:pt idx="172">
                  <c:v>131</c:v>
                </c:pt>
                <c:pt idx="173">
                  <c:v>235.5</c:v>
                </c:pt>
                <c:pt idx="174">
                  <c:v>216</c:v>
                </c:pt>
                <c:pt idx="175">
                  <c:v>210</c:v>
                </c:pt>
                <c:pt idx="176">
                  <c:v>188</c:v>
                </c:pt>
                <c:pt idx="177">
                  <c:v>167</c:v>
                </c:pt>
                <c:pt idx="178">
                  <c:v>139</c:v>
                </c:pt>
                <c:pt idx="179">
                  <c:v>231</c:v>
                </c:pt>
                <c:pt idx="180">
                  <c:v>162</c:v>
                </c:pt>
                <c:pt idx="181">
                  <c:v>184</c:v>
                </c:pt>
                <c:pt idx="182">
                  <c:v>240</c:v>
                </c:pt>
                <c:pt idx="183">
                  <c:v>129</c:v>
                </c:pt>
                <c:pt idx="184">
                  <c:v>258</c:v>
                </c:pt>
                <c:pt idx="185">
                  <c:v>220</c:v>
                </c:pt>
                <c:pt idx="186">
                  <c:v>254</c:v>
                </c:pt>
                <c:pt idx="187">
                  <c:v>131</c:v>
                </c:pt>
                <c:pt idx="188">
                  <c:v>158</c:v>
                </c:pt>
                <c:pt idx="189">
                  <c:v>271</c:v>
                </c:pt>
                <c:pt idx="190">
                  <c:v>257</c:v>
                </c:pt>
                <c:pt idx="191">
                  <c:v>272</c:v>
                </c:pt>
                <c:pt idx="192">
                  <c:v>166</c:v>
                </c:pt>
                <c:pt idx="193">
                  <c:v>226</c:v>
                </c:pt>
                <c:pt idx="194">
                  <c:v>92</c:v>
                </c:pt>
                <c:pt idx="195">
                  <c:v>135</c:v>
                </c:pt>
                <c:pt idx="196">
                  <c:v>126</c:v>
                </c:pt>
                <c:pt idx="197">
                  <c:v>128</c:v>
                </c:pt>
                <c:pt idx="198">
                  <c:v>118</c:v>
                </c:pt>
                <c:pt idx="199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4-41E0-8BD0-FCA15683E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84767"/>
        <c:axId val="422283327"/>
      </c:scatterChart>
      <c:valAx>
        <c:axId val="42228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83327"/>
        <c:crosses val="autoZero"/>
        <c:crossBetween val="midCat"/>
      </c:valAx>
      <c:valAx>
        <c:axId val="4222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8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378618</xdr:colOff>
      <xdr:row>0</xdr:row>
      <xdr:rowOff>176212</xdr:rowOff>
    </xdr:from>
    <xdr:to>
      <xdr:col>11</xdr:col>
      <xdr:colOff>119062</xdr:colOff>
      <xdr:row>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337431-6F46-AF8E-0039-20AFBE139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392906</xdr:colOff>
      <xdr:row>8</xdr:row>
      <xdr:rowOff>133351</xdr:rowOff>
    </xdr:from>
    <xdr:to>
      <xdr:col>10</xdr:col>
      <xdr:colOff>690562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30FD2-F41F-C63C-40AD-8DA6B5E03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0"/>
  <sheetViews>
    <sheetView zoomScale="200" zoomScaleNormal="200" workbookViewId="0">
      <selection activeCell="D14" sqref="D14"/>
    </sheetView>
  </sheetViews>
  <sheetFormatPr defaultColWidth="11.125" defaultRowHeight="15" customHeight="1" x14ac:dyDescent="0.25"/>
  <cols>
    <col min="1" max="1" width="10.5" customWidth="1"/>
    <col min="2" max="2" width="21.875" customWidth="1"/>
    <col min="3" max="6" width="10.5" customWidth="1"/>
    <col min="7" max="7" width="10.125" customWidth="1"/>
    <col min="8" max="8" width="12.125" customWidth="1"/>
    <col min="9" max="26" width="10.5" customWidth="1"/>
  </cols>
  <sheetData>
    <row r="1" spans="1:12" ht="15" customHeight="1" x14ac:dyDescent="0.25">
      <c r="B1" t="s">
        <v>25</v>
      </c>
      <c r="C1" s="13">
        <f>CORREL(C11:C211,$G$11:$G$211)</f>
        <v>0.39040997791206128</v>
      </c>
      <c r="D1" s="13">
        <f t="shared" ref="D1:G1" si="0">CORREL(D11:D211,$G$11:$G$211)</f>
        <v>0.29037493529599767</v>
      </c>
      <c r="E1" s="13">
        <f t="shared" si="0"/>
        <v>0.23641324674653938</v>
      </c>
      <c r="F1" s="13">
        <f t="shared" si="0"/>
        <v>0.15859336275284827</v>
      </c>
      <c r="G1" s="13">
        <f t="shared" si="0"/>
        <v>1</v>
      </c>
    </row>
    <row r="2" spans="1:12" ht="15" customHeight="1" x14ac:dyDescent="0.25">
      <c r="B2" t="s">
        <v>24</v>
      </c>
      <c r="C2" s="13">
        <f>CORREL(C11:C211,$F$11:$F$211)</f>
        <v>0.21036584628071642</v>
      </c>
      <c r="D2" s="13">
        <f t="shared" ref="D2:G2" si="1">CORREL(D11:D211,$F$11:$F$211)</f>
        <v>0.14261691159842182</v>
      </c>
      <c r="E2" s="13">
        <f t="shared" si="1"/>
        <v>-0.25488878474815879</v>
      </c>
      <c r="F2" s="13">
        <f t="shared" si="1"/>
        <v>1.0000000000000002</v>
      </c>
      <c r="G2" s="13">
        <f t="shared" si="1"/>
        <v>0.15859336275284827</v>
      </c>
    </row>
    <row r="3" spans="1:12" ht="15" customHeight="1" x14ac:dyDescent="0.25">
      <c r="B3" t="s">
        <v>26</v>
      </c>
      <c r="C3" s="13">
        <f>CORREL(C11:C211,$E$11:$E$211)</f>
        <v>2.1325368926873211E-2</v>
      </c>
      <c r="D3" s="13">
        <f t="shared" ref="D3:G3" si="2">CORREL(D11:D211,$E$11:$E$211)</f>
        <v>0.32414055131078068</v>
      </c>
      <c r="E3" s="13">
        <f t="shared" si="2"/>
        <v>1</v>
      </c>
      <c r="F3" s="13">
        <f>CORREL(F11:F211,$E$11:$E$211)</f>
        <v>-0.25488878474815879</v>
      </c>
      <c r="G3" s="13">
        <f t="shared" si="2"/>
        <v>0.23641324674653938</v>
      </c>
    </row>
    <row r="4" spans="1:12" ht="15" customHeight="1" x14ac:dyDescent="0.25">
      <c r="B4" t="s">
        <v>23</v>
      </c>
      <c r="C4" s="13">
        <f>CORREL(C11:C211,$D$11:$D$211)</f>
        <v>2.7044217096681603E-2</v>
      </c>
      <c r="D4" s="13">
        <f>CORREL(D11:D211,$D$11:$D$211)</f>
        <v>1</v>
      </c>
      <c r="E4" s="13">
        <f>CORREL(E11:E211,$D$11:$D$211)</f>
        <v>0.32414055131078068</v>
      </c>
      <c r="F4" s="13">
        <f>CORREL(F11:F211,$D$11:$D$211)</f>
        <v>0.14261691159842182</v>
      </c>
      <c r="G4" s="13">
        <f>CORREL(G11:G211,$D$11:$D$211)</f>
        <v>0.29037493529599767</v>
      </c>
    </row>
    <row r="5" spans="1:12" ht="15" customHeight="1" x14ac:dyDescent="0.25">
      <c r="B5" t="s">
        <v>22</v>
      </c>
      <c r="C5" s="13">
        <f>CORREL(C12:C211,$C$12:$C$211)</f>
        <v>1</v>
      </c>
      <c r="D5" s="13">
        <f>CORREL(D12:D211,$C$12:$C$211)</f>
        <v>2.7044217096681603E-2</v>
      </c>
      <c r="E5" s="13">
        <f>CORREL(E12:E211,$C$12:$C$211)</f>
        <v>2.1325368926873211E-2</v>
      </c>
      <c r="F5" s="13">
        <f>CORREL(F12:F211,$C$12:$C$211)</f>
        <v>0.21036584628071642</v>
      </c>
      <c r="G5" s="13">
        <f>CORREL(C12:C211,G12:G211)</f>
        <v>0.39040997791206128</v>
      </c>
    </row>
    <row r="6" spans="1:12" ht="15" customHeight="1" x14ac:dyDescent="0.25">
      <c r="B6" t="s">
        <v>21</v>
      </c>
      <c r="C6" s="13">
        <f t="shared" ref="C6:H6" si="3">C7/C9</f>
        <v>0.64354980686913488</v>
      </c>
      <c r="D6" s="13">
        <f t="shared" si="3"/>
        <v>0.87173105352170122</v>
      </c>
      <c r="E6" s="13">
        <f t="shared" si="3"/>
        <v>0.7019692666653029</v>
      </c>
      <c r="F6" s="13">
        <f t="shared" si="3"/>
        <v>0.73663367392260115</v>
      </c>
      <c r="G6" s="13">
        <f t="shared" si="3"/>
        <v>0.45811583534869504</v>
      </c>
      <c r="H6" s="13">
        <f t="shared" si="3"/>
        <v>0.64194693807600833</v>
      </c>
      <c r="I6" s="13">
        <f t="shared" ref="I6:L6" si="4">I7/I9</f>
        <v>0.86782908628130984</v>
      </c>
      <c r="J6" s="13">
        <f t="shared" si="4"/>
        <v>0.70080532512656146</v>
      </c>
      <c r="K6" s="13">
        <f t="shared" si="4"/>
        <v>0.73219615071695565</v>
      </c>
      <c r="L6" s="13">
        <f t="shared" si="4"/>
        <v>0.45499646614591882</v>
      </c>
    </row>
    <row r="7" spans="1:12" ht="15" customHeight="1" x14ac:dyDescent="0.25">
      <c r="B7" t="s">
        <v>20</v>
      </c>
      <c r="C7" s="12">
        <f>STDEV(C12:C211)</f>
        <v>24.552814614595061</v>
      </c>
      <c r="D7" s="12">
        <f>STDEV(D12:D211)</f>
        <v>21.806551430228165</v>
      </c>
      <c r="E7" s="12">
        <f>STDEV(E12:E211)</f>
        <v>21.367909202454296</v>
      </c>
      <c r="F7" s="12">
        <f>STDEV(F12:F211)</f>
        <v>13.919959942153548</v>
      </c>
      <c r="G7" s="12">
        <f>STDEV(G12:G211)</f>
        <v>70.608856117385542</v>
      </c>
      <c r="H7" s="12">
        <f t="shared" ref="H7:L7" si="5">STDEV(H12:H211)</f>
        <v>24.47142652063047</v>
      </c>
      <c r="I7" s="12">
        <f t="shared" si="5"/>
        <v>21.696599347069238</v>
      </c>
      <c r="J7" s="12">
        <f t="shared" si="5"/>
        <v>21.316570775705898</v>
      </c>
      <c r="K7" s="12">
        <f t="shared" si="5"/>
        <v>13.816372043669105</v>
      </c>
      <c r="L7" s="12">
        <f t="shared" si="5"/>
        <v>70.072299514384909</v>
      </c>
    </row>
    <row r="8" spans="1:12" ht="15" customHeight="1" x14ac:dyDescent="0.25">
      <c r="B8" t="s">
        <v>19</v>
      </c>
      <c r="C8" s="11">
        <f>MEDIAN(C12:C211)</f>
        <v>38.209999999999994</v>
      </c>
      <c r="D8" s="11">
        <f>MEDIAN(D12:D211)</f>
        <v>23.6</v>
      </c>
      <c r="E8" s="11">
        <f>MEDIAN(E12:E211)</f>
        <v>25.9</v>
      </c>
      <c r="F8" s="11">
        <f>MEDIAN(F12:F211)</f>
        <v>17.100000000000001</v>
      </c>
      <c r="G8" s="11">
        <f>MEDIAN(G12:G211)</f>
        <v>139</v>
      </c>
      <c r="H8" s="11">
        <f t="shared" ref="H8:L8" si="6">MEDIAN(H12:H211)</f>
        <v>38.209999999999994</v>
      </c>
      <c r="I8" s="11">
        <f t="shared" si="6"/>
        <v>23.6</v>
      </c>
      <c r="J8" s="11">
        <f t="shared" si="6"/>
        <v>25.9</v>
      </c>
      <c r="K8" s="11">
        <f t="shared" si="6"/>
        <v>17.100000000000001</v>
      </c>
      <c r="L8" s="11">
        <f t="shared" si="6"/>
        <v>139</v>
      </c>
    </row>
    <row r="9" spans="1:12" ht="15" customHeight="1" x14ac:dyDescent="0.25">
      <c r="B9" t="s">
        <v>18</v>
      </c>
      <c r="C9" s="11">
        <f>AVERAGE(C12:C211)</f>
        <v>38.152159090909102</v>
      </c>
      <c r="D9" s="11">
        <f>AVERAGE(D12:D211)</f>
        <v>25.015228426395968</v>
      </c>
      <c r="E9" s="11">
        <f>AVERAGE(E12:E211)</f>
        <v>30.439949748743715</v>
      </c>
      <c r="F9" s="11">
        <f>AVERAGE(F12:F211)</f>
        <v>18.896719543147213</v>
      </c>
      <c r="G9" s="11">
        <f>AVERAGE(G12:G211)</f>
        <v>154.12882653061226</v>
      </c>
      <c r="H9" s="11">
        <f t="shared" ref="H9:L9" si="7">AVERAGE(H12:H211)</f>
        <v>38.120637500000015</v>
      </c>
      <c r="I9" s="11">
        <f t="shared" si="7"/>
        <v>25.001005025125661</v>
      </c>
      <c r="J9" s="11">
        <f t="shared" si="7"/>
        <v>30.417249999999996</v>
      </c>
      <c r="K9" s="11">
        <f t="shared" si="7"/>
        <v>18.869768750000006</v>
      </c>
      <c r="L9" s="11">
        <f t="shared" si="7"/>
        <v>154.00624999999999</v>
      </c>
    </row>
    <row r="10" spans="1:12" ht="15" customHeight="1" x14ac:dyDescent="0.25">
      <c r="B10" t="s">
        <v>17</v>
      </c>
      <c r="C10" s="11">
        <f>200-COUNT(C12:C211)</f>
        <v>2</v>
      </c>
      <c r="D10" s="11">
        <f>200-COUNT(D12:D211)</f>
        <v>3</v>
      </c>
      <c r="E10" s="11">
        <f>200-COUNT(E12:E211)</f>
        <v>1</v>
      </c>
      <c r="F10" s="11">
        <f>200-COUNT(F12:F211)</f>
        <v>3</v>
      </c>
      <c r="G10" s="11">
        <f>200-COUNT(G12:G211)</f>
        <v>4</v>
      </c>
      <c r="H10" t="s">
        <v>28</v>
      </c>
      <c r="I10" t="s">
        <v>19</v>
      </c>
      <c r="J10" t="s">
        <v>19</v>
      </c>
      <c r="K10" t="s">
        <v>19</v>
      </c>
      <c r="L10" t="s">
        <v>29</v>
      </c>
    </row>
    <row r="11" spans="1:12" ht="15.75" customHeight="1" x14ac:dyDescent="0.25">
      <c r="A11" s="1" t="s">
        <v>0</v>
      </c>
      <c r="B11" s="1" t="s">
        <v>1</v>
      </c>
      <c r="C11" s="2" t="s">
        <v>2</v>
      </c>
      <c r="D11" s="2" t="s">
        <v>3</v>
      </c>
      <c r="E11" s="2" t="s">
        <v>4</v>
      </c>
      <c r="F11" s="2" t="s">
        <v>16</v>
      </c>
      <c r="G11" s="3" t="s">
        <v>5</v>
      </c>
      <c r="H11" s="2" t="s">
        <v>2</v>
      </c>
      <c r="I11" s="2" t="s">
        <v>3</v>
      </c>
      <c r="J11" s="2" t="s">
        <v>4</v>
      </c>
      <c r="K11" s="2" t="s">
        <v>16</v>
      </c>
      <c r="L11" s="3" t="s">
        <v>5</v>
      </c>
    </row>
    <row r="12" spans="1:12" ht="15.75" customHeight="1" x14ac:dyDescent="0.25">
      <c r="A12" s="4">
        <v>1</v>
      </c>
      <c r="B12" s="5">
        <f t="shared" ref="B12:B210" si="8">+B13-1</f>
        <v>44996</v>
      </c>
      <c r="C12" s="6">
        <v>56.02</v>
      </c>
      <c r="D12" s="6">
        <v>37.799999999999997</v>
      </c>
      <c r="E12" s="6">
        <v>69.2</v>
      </c>
      <c r="F12" s="7">
        <v>14.229999999999993</v>
      </c>
      <c r="G12" s="6">
        <v>236</v>
      </c>
      <c r="H12" s="6">
        <v>56.02</v>
      </c>
      <c r="I12">
        <f>IF(ISBLANK(D12),$D$8,D12)</f>
        <v>37.799999999999997</v>
      </c>
      <c r="J12">
        <f>IF(ISBLANK(E12),$E$8,E12)</f>
        <v>69.2</v>
      </c>
      <c r="K12">
        <f>IF(ISBLANK(F12),$F$8,F12)</f>
        <v>14.229999999999993</v>
      </c>
      <c r="L12" s="6">
        <v>71</v>
      </c>
    </row>
    <row r="13" spans="1:12" ht="15.75" customHeight="1" x14ac:dyDescent="0.25">
      <c r="A13" s="4">
        <v>2</v>
      </c>
      <c r="B13" s="5">
        <f t="shared" si="8"/>
        <v>44997</v>
      </c>
      <c r="C13" s="6">
        <v>10.9</v>
      </c>
      <c r="D13" s="6">
        <v>39.299999999999997</v>
      </c>
      <c r="E13" s="6">
        <v>45.1</v>
      </c>
      <c r="F13" s="7">
        <v>6.0599999999999952</v>
      </c>
      <c r="G13" s="6">
        <v>122</v>
      </c>
      <c r="H13" s="6">
        <v>10.9</v>
      </c>
      <c r="I13">
        <f t="shared" ref="I13:I76" si="9">IF(ISBLANK(D13),$D$8,D13)</f>
        <v>39.299999999999997</v>
      </c>
      <c r="J13">
        <f t="shared" ref="J13:J76" si="10">IF(ISBLANK(E13),$E$8,E13)</f>
        <v>45.1</v>
      </c>
      <c r="K13">
        <f t="shared" ref="K13:K76" si="11">IF(ISBLANK(F13),$F$8,F13)</f>
        <v>6.0599999999999952</v>
      </c>
      <c r="L13" s="6">
        <v>71</v>
      </c>
    </row>
    <row r="14" spans="1:12" ht="15.75" customHeight="1" x14ac:dyDescent="0.25">
      <c r="A14" s="4">
        <v>3</v>
      </c>
      <c r="B14" s="5">
        <f t="shared" si="8"/>
        <v>44998</v>
      </c>
      <c r="C14" s="6">
        <v>12.44</v>
      </c>
      <c r="D14" s="6">
        <v>45.9</v>
      </c>
      <c r="E14" s="6">
        <v>69.3</v>
      </c>
      <c r="F14" s="7">
        <v>16.95</v>
      </c>
      <c r="G14" s="6">
        <v>96</v>
      </c>
      <c r="H14" s="6">
        <v>12.44</v>
      </c>
      <c r="I14">
        <f t="shared" si="9"/>
        <v>45.9</v>
      </c>
      <c r="J14">
        <f t="shared" si="10"/>
        <v>69.3</v>
      </c>
      <c r="K14">
        <f t="shared" si="11"/>
        <v>16.95</v>
      </c>
      <c r="L14" s="6">
        <v>28</v>
      </c>
    </row>
    <row r="15" spans="1:12" ht="15.75" customHeight="1" x14ac:dyDescent="0.25">
      <c r="A15" s="4">
        <v>4</v>
      </c>
      <c r="B15" s="5">
        <f t="shared" si="8"/>
        <v>44999</v>
      </c>
      <c r="C15" s="6">
        <v>31.3</v>
      </c>
      <c r="D15" s="6">
        <v>41.3</v>
      </c>
      <c r="E15" s="6">
        <v>58.5</v>
      </c>
      <c r="F15" s="7">
        <v>12.399999999999995</v>
      </c>
      <c r="G15" s="6">
        <v>197</v>
      </c>
      <c r="H15" s="6">
        <v>31.3</v>
      </c>
      <c r="I15">
        <f t="shared" si="9"/>
        <v>41.3</v>
      </c>
      <c r="J15">
        <f t="shared" si="10"/>
        <v>58.5</v>
      </c>
      <c r="K15">
        <f t="shared" si="11"/>
        <v>12.399999999999995</v>
      </c>
      <c r="L15" s="6">
        <v>83</v>
      </c>
    </row>
    <row r="16" spans="1:12" ht="15.75" customHeight="1" x14ac:dyDescent="0.25">
      <c r="A16" s="4">
        <v>5</v>
      </c>
      <c r="B16" s="5">
        <f t="shared" si="8"/>
        <v>45000</v>
      </c>
      <c r="C16" s="6">
        <v>46.160000000000004</v>
      </c>
      <c r="D16" s="6">
        <v>10.8</v>
      </c>
      <c r="E16" s="6">
        <v>58.4</v>
      </c>
      <c r="F16" s="7">
        <v>0.12000000000000455</v>
      </c>
      <c r="G16" s="6">
        <v>137</v>
      </c>
      <c r="H16" s="6">
        <v>46.160000000000004</v>
      </c>
      <c r="I16">
        <f t="shared" si="9"/>
        <v>10.8</v>
      </c>
      <c r="J16">
        <f t="shared" si="10"/>
        <v>58.4</v>
      </c>
      <c r="K16">
        <f t="shared" si="11"/>
        <v>0.12000000000000455</v>
      </c>
      <c r="L16" s="6">
        <v>86</v>
      </c>
    </row>
    <row r="17" spans="1:12" ht="15.75" customHeight="1" x14ac:dyDescent="0.25">
      <c r="A17" s="4">
        <v>6</v>
      </c>
      <c r="B17" s="5">
        <f t="shared" si="8"/>
        <v>45001</v>
      </c>
      <c r="C17" s="6">
        <v>6.74</v>
      </c>
      <c r="D17" s="6">
        <v>48.9</v>
      </c>
      <c r="E17" s="6">
        <v>75</v>
      </c>
      <c r="F17" s="7">
        <v>15.32</v>
      </c>
      <c r="G17" s="6">
        <v>86</v>
      </c>
      <c r="H17" s="6">
        <v>6.74</v>
      </c>
      <c r="I17">
        <f t="shared" si="9"/>
        <v>48.9</v>
      </c>
      <c r="J17">
        <f t="shared" si="10"/>
        <v>75</v>
      </c>
      <c r="K17">
        <f t="shared" si="11"/>
        <v>15.32</v>
      </c>
      <c r="L17" s="6">
        <v>81</v>
      </c>
    </row>
    <row r="18" spans="1:12" ht="15.75" customHeight="1" x14ac:dyDescent="0.25">
      <c r="A18" s="4">
        <v>7</v>
      </c>
      <c r="B18" s="5">
        <f t="shared" si="8"/>
        <v>45002</v>
      </c>
      <c r="C18" s="6">
        <v>13.5</v>
      </c>
      <c r="D18" s="6">
        <v>32.799999999999997</v>
      </c>
      <c r="E18" s="6">
        <v>23.5</v>
      </c>
      <c r="F18" s="7">
        <v>12.749999999999998</v>
      </c>
      <c r="G18" s="6">
        <v>123</v>
      </c>
      <c r="H18" s="6">
        <v>13.5</v>
      </c>
      <c r="I18">
        <f t="shared" si="9"/>
        <v>32.799999999999997</v>
      </c>
      <c r="J18">
        <f t="shared" si="10"/>
        <v>23.5</v>
      </c>
      <c r="K18">
        <f t="shared" si="11"/>
        <v>12.749999999999998</v>
      </c>
      <c r="L18" s="6">
        <v>86</v>
      </c>
    </row>
    <row r="19" spans="1:12" ht="15.75" customHeight="1" x14ac:dyDescent="0.25">
      <c r="A19" s="4">
        <v>8</v>
      </c>
      <c r="B19" s="5">
        <f t="shared" si="8"/>
        <v>45003</v>
      </c>
      <c r="C19" s="6">
        <v>31.04</v>
      </c>
      <c r="D19" s="6">
        <v>19.600000000000001</v>
      </c>
      <c r="E19" s="6">
        <v>11.6</v>
      </c>
      <c r="F19" s="7">
        <v>17.18</v>
      </c>
      <c r="G19" s="6">
        <v>152</v>
      </c>
      <c r="H19" s="6">
        <v>31.04</v>
      </c>
      <c r="I19">
        <f t="shared" si="9"/>
        <v>19.600000000000001</v>
      </c>
      <c r="J19">
        <f t="shared" si="10"/>
        <v>11.6</v>
      </c>
      <c r="K19">
        <f t="shared" si="11"/>
        <v>17.18</v>
      </c>
      <c r="L19" s="6">
        <v>62</v>
      </c>
    </row>
    <row r="20" spans="1:12" ht="15.75" customHeight="1" x14ac:dyDescent="0.25">
      <c r="A20" s="4">
        <v>9</v>
      </c>
      <c r="B20" s="5">
        <f t="shared" si="8"/>
        <v>45004</v>
      </c>
      <c r="C20" s="6">
        <v>9.7200000000000006</v>
      </c>
      <c r="D20" s="6">
        <v>2.1</v>
      </c>
      <c r="E20" s="6">
        <v>1</v>
      </c>
      <c r="F20" s="7">
        <v>1.5100000000000002</v>
      </c>
      <c r="G20" s="6">
        <v>54</v>
      </c>
      <c r="H20" s="6">
        <v>9.7200000000000006</v>
      </c>
      <c r="I20">
        <f t="shared" si="9"/>
        <v>2.1</v>
      </c>
      <c r="J20">
        <f t="shared" si="10"/>
        <v>1</v>
      </c>
      <c r="K20">
        <f t="shared" si="11"/>
        <v>1.5100000000000002</v>
      </c>
      <c r="L20" s="6">
        <v>78</v>
      </c>
    </row>
    <row r="21" spans="1:12" ht="15.75" customHeight="1" x14ac:dyDescent="0.25">
      <c r="A21" s="4">
        <v>10</v>
      </c>
      <c r="B21" s="5">
        <f t="shared" si="8"/>
        <v>45005</v>
      </c>
      <c r="C21" s="6">
        <v>40.96</v>
      </c>
      <c r="D21" s="6">
        <v>2.6</v>
      </c>
      <c r="E21" s="6">
        <v>21.2</v>
      </c>
      <c r="F21" s="7">
        <v>12.8</v>
      </c>
      <c r="G21" s="6">
        <v>119</v>
      </c>
      <c r="H21" s="6">
        <v>40.96</v>
      </c>
      <c r="I21">
        <f t="shared" si="9"/>
        <v>2.6</v>
      </c>
      <c r="J21">
        <f t="shared" si="10"/>
        <v>21.2</v>
      </c>
      <c r="K21">
        <f t="shared" si="11"/>
        <v>12.8</v>
      </c>
      <c r="L21" s="6">
        <v>109</v>
      </c>
    </row>
    <row r="22" spans="1:12" ht="15.75" customHeight="1" x14ac:dyDescent="0.25">
      <c r="A22" s="4">
        <v>11</v>
      </c>
      <c r="B22" s="5">
        <f t="shared" si="8"/>
        <v>45006</v>
      </c>
      <c r="C22" s="6">
        <v>23.22</v>
      </c>
      <c r="D22" s="6">
        <v>5.8</v>
      </c>
      <c r="E22" s="6">
        <v>24.2</v>
      </c>
      <c r="F22" s="7">
        <v>19.829999999999998</v>
      </c>
      <c r="G22" s="6">
        <v>95</v>
      </c>
      <c r="H22" s="6">
        <v>23.22</v>
      </c>
      <c r="I22">
        <f t="shared" si="9"/>
        <v>5.8</v>
      </c>
      <c r="J22">
        <f t="shared" si="10"/>
        <v>24.2</v>
      </c>
      <c r="K22">
        <f t="shared" si="11"/>
        <v>19.829999999999998</v>
      </c>
      <c r="L22" s="6">
        <v>54</v>
      </c>
    </row>
    <row r="23" spans="1:12" ht="15.75" customHeight="1" x14ac:dyDescent="0.25">
      <c r="A23" s="4">
        <v>12</v>
      </c>
      <c r="B23" s="5">
        <f t="shared" si="8"/>
        <v>45007</v>
      </c>
      <c r="C23" s="6">
        <v>50.94</v>
      </c>
      <c r="D23" s="6">
        <v>24</v>
      </c>
      <c r="E23" s="6">
        <v>4</v>
      </c>
      <c r="F23" s="7">
        <v>31.869999999999997</v>
      </c>
      <c r="G23" s="6">
        <v>151.5</v>
      </c>
      <c r="H23" s="6">
        <v>50.94</v>
      </c>
      <c r="I23">
        <f t="shared" si="9"/>
        <v>24</v>
      </c>
      <c r="J23">
        <f t="shared" si="10"/>
        <v>4</v>
      </c>
      <c r="K23">
        <f t="shared" si="11"/>
        <v>31.869999999999997</v>
      </c>
      <c r="L23" s="6">
        <v>54</v>
      </c>
    </row>
    <row r="24" spans="1:12" ht="15.75" customHeight="1" x14ac:dyDescent="0.25">
      <c r="A24" s="4">
        <v>13</v>
      </c>
      <c r="B24" s="5">
        <f t="shared" si="8"/>
        <v>45008</v>
      </c>
      <c r="C24" s="6">
        <v>10.76</v>
      </c>
      <c r="D24" s="6">
        <v>35.1</v>
      </c>
      <c r="E24" s="6">
        <v>65.900000000000006</v>
      </c>
      <c r="F24" s="7"/>
      <c r="G24" s="6">
        <v>95</v>
      </c>
      <c r="H24" s="6">
        <v>10.76</v>
      </c>
      <c r="I24">
        <f t="shared" si="9"/>
        <v>35.1</v>
      </c>
      <c r="J24">
        <f t="shared" si="10"/>
        <v>65.900000000000006</v>
      </c>
      <c r="K24">
        <f t="shared" si="11"/>
        <v>17.100000000000001</v>
      </c>
      <c r="L24" s="6">
        <v>35</v>
      </c>
    </row>
    <row r="25" spans="1:12" ht="15.75" customHeight="1" x14ac:dyDescent="0.25">
      <c r="A25" s="4">
        <v>14</v>
      </c>
      <c r="B25" s="5">
        <f t="shared" si="8"/>
        <v>45009</v>
      </c>
      <c r="C25" s="6">
        <v>26.5</v>
      </c>
      <c r="D25" s="6">
        <v>7.6</v>
      </c>
      <c r="E25" s="6">
        <v>7.2</v>
      </c>
      <c r="F25" s="7"/>
      <c r="G25" s="6">
        <v>113</v>
      </c>
      <c r="H25" s="6">
        <v>26.5</v>
      </c>
      <c r="I25">
        <f t="shared" si="9"/>
        <v>7.6</v>
      </c>
      <c r="J25">
        <f t="shared" si="10"/>
        <v>7.2</v>
      </c>
      <c r="K25">
        <f t="shared" si="11"/>
        <v>17.100000000000001</v>
      </c>
      <c r="L25" s="6">
        <v>77</v>
      </c>
    </row>
    <row r="26" spans="1:12" ht="15.75" customHeight="1" x14ac:dyDescent="0.25">
      <c r="A26" s="4">
        <v>15</v>
      </c>
      <c r="B26" s="5">
        <f t="shared" si="8"/>
        <v>45010</v>
      </c>
      <c r="C26" s="6">
        <v>44.82</v>
      </c>
      <c r="D26" s="6">
        <v>32.9</v>
      </c>
      <c r="E26" s="6">
        <v>46</v>
      </c>
      <c r="F26" s="7">
        <v>18.459999999999997</v>
      </c>
      <c r="G26" s="6">
        <v>191</v>
      </c>
      <c r="H26" s="6">
        <v>44.82</v>
      </c>
      <c r="I26">
        <f t="shared" si="9"/>
        <v>32.9</v>
      </c>
      <c r="J26">
        <f t="shared" si="10"/>
        <v>46</v>
      </c>
      <c r="K26">
        <f t="shared" si="11"/>
        <v>18.459999999999997</v>
      </c>
      <c r="L26" s="6">
        <v>93</v>
      </c>
    </row>
    <row r="27" spans="1:12" ht="15.75" customHeight="1" x14ac:dyDescent="0.25">
      <c r="A27" s="4">
        <v>16</v>
      </c>
      <c r="B27" s="5">
        <f t="shared" si="8"/>
        <v>45011</v>
      </c>
      <c r="C27" s="6">
        <v>42.08</v>
      </c>
      <c r="D27" s="6">
        <v>47.7</v>
      </c>
      <c r="E27" s="6">
        <v>52.9</v>
      </c>
      <c r="F27" s="7">
        <v>22.23</v>
      </c>
      <c r="G27" s="6">
        <v>240</v>
      </c>
      <c r="H27" s="6">
        <v>42.08</v>
      </c>
      <c r="I27">
        <f t="shared" si="9"/>
        <v>47.7</v>
      </c>
      <c r="J27">
        <f t="shared" si="10"/>
        <v>52.9</v>
      </c>
      <c r="K27">
        <f t="shared" si="11"/>
        <v>22.23</v>
      </c>
      <c r="L27" s="6">
        <v>98</v>
      </c>
    </row>
    <row r="28" spans="1:12" ht="15.75" customHeight="1" x14ac:dyDescent="0.25">
      <c r="A28" s="4">
        <v>17</v>
      </c>
      <c r="B28" s="5">
        <f t="shared" si="8"/>
        <v>45012</v>
      </c>
      <c r="C28" s="6">
        <v>89.06</v>
      </c>
      <c r="D28" s="6">
        <v>36.6</v>
      </c>
      <c r="E28" s="6">
        <v>93.625</v>
      </c>
      <c r="F28" s="7">
        <v>23.379999999999995</v>
      </c>
      <c r="G28" s="6">
        <v>135</v>
      </c>
      <c r="H28" s="6">
        <v>89.06</v>
      </c>
      <c r="I28">
        <f t="shared" si="9"/>
        <v>36.6</v>
      </c>
      <c r="J28">
        <f t="shared" si="10"/>
        <v>93.625</v>
      </c>
      <c r="K28">
        <f t="shared" si="11"/>
        <v>23.379999999999995</v>
      </c>
      <c r="L28" s="6">
        <v>95</v>
      </c>
    </row>
    <row r="29" spans="1:12" ht="15.75" customHeight="1" x14ac:dyDescent="0.25">
      <c r="A29" s="4">
        <v>18</v>
      </c>
      <c r="B29" s="5">
        <f t="shared" si="8"/>
        <v>45013</v>
      </c>
      <c r="C29" s="6">
        <v>62.279999999999994</v>
      </c>
      <c r="D29" s="6">
        <v>39.6</v>
      </c>
      <c r="E29" s="6">
        <v>55.8</v>
      </c>
      <c r="F29" s="7">
        <v>25.619999999999997</v>
      </c>
      <c r="G29" s="6">
        <v>258</v>
      </c>
      <c r="H29" s="6">
        <v>62.279999999999994</v>
      </c>
      <c r="I29">
        <f t="shared" si="9"/>
        <v>39.6</v>
      </c>
      <c r="J29">
        <f t="shared" si="10"/>
        <v>55.8</v>
      </c>
      <c r="K29">
        <f t="shared" si="11"/>
        <v>25.619999999999997</v>
      </c>
      <c r="L29" s="6">
        <v>122</v>
      </c>
    </row>
    <row r="30" spans="1:12" ht="15.75" customHeight="1" x14ac:dyDescent="0.25">
      <c r="A30" s="4">
        <v>19</v>
      </c>
      <c r="B30" s="5">
        <f t="shared" si="8"/>
        <v>45014</v>
      </c>
      <c r="C30" s="6">
        <v>14.84</v>
      </c>
      <c r="D30" s="6">
        <v>20.5</v>
      </c>
      <c r="E30" s="6">
        <v>18.3</v>
      </c>
      <c r="F30" s="7">
        <v>9.8500000000000014</v>
      </c>
      <c r="G30" s="6">
        <v>127</v>
      </c>
      <c r="H30" s="6">
        <v>14.84</v>
      </c>
      <c r="I30">
        <f t="shared" si="9"/>
        <v>20.5</v>
      </c>
      <c r="J30">
        <f t="shared" si="10"/>
        <v>18.3</v>
      </c>
      <c r="K30">
        <f t="shared" si="11"/>
        <v>9.8500000000000014</v>
      </c>
      <c r="L30" s="6">
        <v>90</v>
      </c>
    </row>
    <row r="31" spans="1:12" ht="15.75" customHeight="1" x14ac:dyDescent="0.25">
      <c r="A31" s="4">
        <v>20</v>
      </c>
      <c r="B31" s="5">
        <f t="shared" si="8"/>
        <v>45015</v>
      </c>
      <c r="C31" s="6">
        <v>32.46</v>
      </c>
      <c r="D31" s="6">
        <v>23.9</v>
      </c>
      <c r="E31" s="6">
        <v>19.100000000000001</v>
      </c>
      <c r="F31" s="7">
        <v>19.04</v>
      </c>
      <c r="G31" s="6">
        <v>148</v>
      </c>
      <c r="H31" s="6">
        <v>32.46</v>
      </c>
      <c r="I31">
        <f t="shared" si="9"/>
        <v>23.9</v>
      </c>
      <c r="J31">
        <f t="shared" si="10"/>
        <v>19.100000000000001</v>
      </c>
      <c r="K31">
        <f t="shared" si="11"/>
        <v>19.04</v>
      </c>
      <c r="L31" s="6">
        <v>95</v>
      </c>
    </row>
    <row r="32" spans="1:12" ht="15.75" customHeight="1" x14ac:dyDescent="0.25">
      <c r="A32" s="4">
        <v>21</v>
      </c>
      <c r="B32" s="5">
        <f t="shared" si="8"/>
        <v>45016</v>
      </c>
      <c r="C32" s="6">
        <v>46.68</v>
      </c>
      <c r="D32" s="6">
        <v>27.7</v>
      </c>
      <c r="E32" s="6">
        <v>53.4</v>
      </c>
      <c r="F32" s="7">
        <v>14.329999999999998</v>
      </c>
      <c r="G32" s="6">
        <v>188</v>
      </c>
      <c r="H32" s="6">
        <v>46.68</v>
      </c>
      <c r="I32">
        <f t="shared" si="9"/>
        <v>27.7</v>
      </c>
      <c r="J32">
        <f t="shared" si="10"/>
        <v>53.4</v>
      </c>
      <c r="K32">
        <f t="shared" si="11"/>
        <v>14.329999999999998</v>
      </c>
      <c r="L32" s="6">
        <v>90</v>
      </c>
    </row>
    <row r="33" spans="1:12" ht="15.75" customHeight="1" x14ac:dyDescent="0.25">
      <c r="A33" s="4">
        <v>22</v>
      </c>
      <c r="B33" s="5">
        <f t="shared" si="8"/>
        <v>45017</v>
      </c>
      <c r="C33" s="6">
        <v>48.480000000000004</v>
      </c>
      <c r="D33" s="6">
        <v>123</v>
      </c>
      <c r="E33" s="6">
        <v>23.5</v>
      </c>
      <c r="F33" s="7">
        <v>16.89</v>
      </c>
      <c r="G33" s="6">
        <v>127</v>
      </c>
      <c r="H33" s="6">
        <v>48.480000000000004</v>
      </c>
      <c r="I33">
        <f t="shared" si="9"/>
        <v>123</v>
      </c>
      <c r="J33">
        <f t="shared" si="10"/>
        <v>23.5</v>
      </c>
      <c r="K33">
        <f t="shared" si="11"/>
        <v>16.89</v>
      </c>
      <c r="L33" s="6">
        <v>89</v>
      </c>
    </row>
    <row r="34" spans="1:12" ht="15.75" customHeight="1" x14ac:dyDescent="0.25">
      <c r="A34" s="4">
        <v>23</v>
      </c>
      <c r="B34" s="5">
        <f t="shared" si="8"/>
        <v>45018</v>
      </c>
      <c r="C34" s="6">
        <v>11.64</v>
      </c>
      <c r="D34" s="6">
        <v>15.9</v>
      </c>
      <c r="E34" s="6">
        <v>49.6</v>
      </c>
      <c r="F34" s="7">
        <v>9.4299999999999962</v>
      </c>
      <c r="G34" s="6"/>
      <c r="H34" s="6">
        <v>11.64</v>
      </c>
      <c r="I34">
        <f t="shared" si="9"/>
        <v>15.9</v>
      </c>
      <c r="J34">
        <f t="shared" si="10"/>
        <v>49.6</v>
      </c>
      <c r="K34">
        <f t="shared" si="11"/>
        <v>9.4299999999999962</v>
      </c>
      <c r="L34" s="6">
        <v>85</v>
      </c>
    </row>
    <row r="35" spans="1:12" ht="15.75" customHeight="1" x14ac:dyDescent="0.25">
      <c r="A35" s="4">
        <v>24</v>
      </c>
      <c r="B35" s="5">
        <f t="shared" si="8"/>
        <v>45019</v>
      </c>
      <c r="C35" s="6">
        <v>49.660000000000004</v>
      </c>
      <c r="D35" s="6">
        <v>16.899999999999999</v>
      </c>
      <c r="E35" s="6">
        <v>26.2</v>
      </c>
      <c r="F35" s="7">
        <v>20.8</v>
      </c>
      <c r="G35" s="6">
        <v>175</v>
      </c>
      <c r="H35" s="6">
        <v>49.660000000000004</v>
      </c>
      <c r="I35">
        <f t="shared" si="9"/>
        <v>16.899999999999999</v>
      </c>
      <c r="J35">
        <f t="shared" si="10"/>
        <v>26.2</v>
      </c>
      <c r="K35">
        <f t="shared" si="11"/>
        <v>20.8</v>
      </c>
      <c r="L35" s="6">
        <v>105</v>
      </c>
    </row>
    <row r="36" spans="1:12" ht="15.75" customHeight="1" x14ac:dyDescent="0.25">
      <c r="A36" s="4">
        <v>25</v>
      </c>
      <c r="B36" s="5">
        <f t="shared" si="8"/>
        <v>45020</v>
      </c>
      <c r="C36" s="6">
        <v>20.46</v>
      </c>
      <c r="D36" s="6">
        <v>12.6</v>
      </c>
      <c r="E36" s="6">
        <v>18.3</v>
      </c>
      <c r="F36" s="7">
        <v>5.2099999999999991</v>
      </c>
      <c r="G36" s="6">
        <v>110</v>
      </c>
      <c r="H36" s="6">
        <v>20.46</v>
      </c>
      <c r="I36">
        <f t="shared" si="9"/>
        <v>12.6</v>
      </c>
      <c r="J36">
        <f t="shared" si="10"/>
        <v>18.3</v>
      </c>
      <c r="K36">
        <f t="shared" si="11"/>
        <v>5.2099999999999991</v>
      </c>
      <c r="L36" s="6">
        <v>62</v>
      </c>
    </row>
    <row r="37" spans="1:12" ht="15.75" customHeight="1" x14ac:dyDescent="0.25">
      <c r="A37" s="4">
        <v>26</v>
      </c>
      <c r="B37" s="5">
        <f t="shared" si="8"/>
        <v>45021</v>
      </c>
      <c r="C37" s="6">
        <v>59.58</v>
      </c>
      <c r="D37" s="6">
        <v>3.5</v>
      </c>
      <c r="E37" s="6">
        <v>19.5</v>
      </c>
      <c r="F37" s="7">
        <v>20.239999999999998</v>
      </c>
      <c r="G37" s="6">
        <v>139</v>
      </c>
      <c r="H37" s="6">
        <v>59.58</v>
      </c>
      <c r="I37">
        <f t="shared" si="9"/>
        <v>3.5</v>
      </c>
      <c r="J37">
        <f t="shared" si="10"/>
        <v>19.5</v>
      </c>
      <c r="K37">
        <f t="shared" si="11"/>
        <v>20.239999999999998</v>
      </c>
      <c r="L37" s="6">
        <v>96</v>
      </c>
    </row>
    <row r="38" spans="1:12" ht="15.75" customHeight="1" x14ac:dyDescent="0.25">
      <c r="A38" s="4">
        <v>27</v>
      </c>
      <c r="B38" s="5">
        <f t="shared" si="8"/>
        <v>45022</v>
      </c>
      <c r="C38" s="6">
        <v>38.58</v>
      </c>
      <c r="D38" s="6">
        <v>29.3</v>
      </c>
      <c r="E38" s="6">
        <v>12.6</v>
      </c>
      <c r="F38" s="7">
        <v>23.900000000000002</v>
      </c>
      <c r="G38" s="6">
        <v>167</v>
      </c>
      <c r="H38" s="6">
        <v>38.58</v>
      </c>
      <c r="I38">
        <f t="shared" si="9"/>
        <v>29.3</v>
      </c>
      <c r="J38">
        <f t="shared" si="10"/>
        <v>12.6</v>
      </c>
      <c r="K38">
        <f t="shared" si="11"/>
        <v>23.900000000000002</v>
      </c>
      <c r="L38" s="6">
        <v>83</v>
      </c>
    </row>
    <row r="39" spans="1:12" ht="15.75" customHeight="1" x14ac:dyDescent="0.25">
      <c r="A39" s="4">
        <v>28</v>
      </c>
      <c r="B39" s="5">
        <f t="shared" si="8"/>
        <v>45023</v>
      </c>
      <c r="C39" s="6">
        <v>49.019999999999996</v>
      </c>
      <c r="D39" s="6">
        <v>16.7</v>
      </c>
      <c r="E39" s="6">
        <v>22.9</v>
      </c>
      <c r="F39" s="7">
        <v>23.2</v>
      </c>
      <c r="G39" s="6">
        <v>168</v>
      </c>
      <c r="H39" s="6">
        <v>49.019999999999996</v>
      </c>
      <c r="I39">
        <f t="shared" si="9"/>
        <v>16.7</v>
      </c>
      <c r="J39">
        <f t="shared" si="10"/>
        <v>22.9</v>
      </c>
      <c r="K39">
        <f t="shared" si="11"/>
        <v>23.2</v>
      </c>
      <c r="L39" s="6">
        <v>123</v>
      </c>
    </row>
    <row r="40" spans="1:12" ht="15.75" customHeight="1" x14ac:dyDescent="0.25">
      <c r="A40" s="4">
        <v>29</v>
      </c>
      <c r="B40" s="5">
        <f t="shared" si="8"/>
        <v>45024</v>
      </c>
      <c r="C40" s="6">
        <v>52.760000000000005</v>
      </c>
      <c r="D40" s="6">
        <v>27.1</v>
      </c>
      <c r="E40" s="6">
        <v>22.9</v>
      </c>
      <c r="F40" s="7">
        <v>29.270000000000007</v>
      </c>
      <c r="G40" s="6">
        <v>199</v>
      </c>
      <c r="H40" s="6">
        <v>52.760000000000005</v>
      </c>
      <c r="I40">
        <f t="shared" si="9"/>
        <v>27.1</v>
      </c>
      <c r="J40">
        <f t="shared" si="10"/>
        <v>22.9</v>
      </c>
      <c r="K40">
        <f t="shared" si="11"/>
        <v>29.270000000000007</v>
      </c>
      <c r="L40" s="6">
        <v>124</v>
      </c>
    </row>
    <row r="41" spans="1:12" ht="15.75" customHeight="1" x14ac:dyDescent="0.25">
      <c r="A41" s="4">
        <v>30</v>
      </c>
      <c r="B41" s="5">
        <f t="shared" si="8"/>
        <v>45025</v>
      </c>
      <c r="C41" s="6">
        <v>15.12</v>
      </c>
      <c r="D41" s="6">
        <v>16</v>
      </c>
      <c r="E41" s="6">
        <v>40.799999999999997</v>
      </c>
      <c r="F41" s="7">
        <v>18.739999999999998</v>
      </c>
      <c r="G41" s="6">
        <v>123</v>
      </c>
      <c r="H41" s="6">
        <v>15.12</v>
      </c>
      <c r="I41">
        <f t="shared" si="9"/>
        <v>16</v>
      </c>
      <c r="J41">
        <f t="shared" si="10"/>
        <v>40.799999999999997</v>
      </c>
      <c r="K41">
        <f t="shared" si="11"/>
        <v>18.739999999999998</v>
      </c>
      <c r="L41" s="6">
        <v>111</v>
      </c>
    </row>
    <row r="42" spans="1:12" ht="15.75" customHeight="1" x14ac:dyDescent="0.25">
      <c r="A42" s="4">
        <v>31</v>
      </c>
      <c r="B42" s="5">
        <f t="shared" si="8"/>
        <v>45026</v>
      </c>
      <c r="C42" s="6">
        <v>59.58</v>
      </c>
      <c r="D42" s="6">
        <v>28.3</v>
      </c>
      <c r="E42" s="6">
        <v>43.2</v>
      </c>
      <c r="F42" s="7">
        <v>26.159999999999997</v>
      </c>
      <c r="G42" s="6">
        <v>231</v>
      </c>
      <c r="H42" s="6">
        <v>59.58</v>
      </c>
      <c r="I42">
        <f t="shared" si="9"/>
        <v>28.3</v>
      </c>
      <c r="J42">
        <f t="shared" si="10"/>
        <v>43.2</v>
      </c>
      <c r="K42">
        <f t="shared" si="11"/>
        <v>26.159999999999997</v>
      </c>
      <c r="L42" s="6">
        <v>114</v>
      </c>
    </row>
    <row r="43" spans="1:12" ht="15.75" customHeight="1" x14ac:dyDescent="0.25">
      <c r="A43" s="4">
        <v>32</v>
      </c>
      <c r="B43" s="5">
        <f t="shared" si="8"/>
        <v>45027</v>
      </c>
      <c r="C43" s="6">
        <v>92.987500000000011</v>
      </c>
      <c r="D43" s="6">
        <v>17.399999999999999</v>
      </c>
      <c r="E43" s="6">
        <v>38.6</v>
      </c>
      <c r="F43" s="7">
        <v>37.253750000000011</v>
      </c>
      <c r="G43" s="6">
        <v>126</v>
      </c>
      <c r="H43" s="6">
        <v>92.987500000000011</v>
      </c>
      <c r="I43">
        <f t="shared" si="9"/>
        <v>17.399999999999999</v>
      </c>
      <c r="J43">
        <f t="shared" si="10"/>
        <v>38.6</v>
      </c>
      <c r="K43">
        <f t="shared" si="11"/>
        <v>37.253750000000011</v>
      </c>
      <c r="L43" s="6">
        <v>91</v>
      </c>
    </row>
    <row r="44" spans="1:12" ht="15.75" customHeight="1" x14ac:dyDescent="0.25">
      <c r="A44" s="4">
        <v>33</v>
      </c>
      <c r="B44" s="5">
        <f t="shared" si="8"/>
        <v>45028</v>
      </c>
      <c r="C44" s="6">
        <v>20.440000000000001</v>
      </c>
      <c r="D44" s="6">
        <v>1.5</v>
      </c>
      <c r="E44" s="6">
        <v>30</v>
      </c>
      <c r="F44" s="7">
        <v>18.47</v>
      </c>
      <c r="G44" s="6">
        <v>112</v>
      </c>
      <c r="H44" s="6">
        <v>20.440000000000001</v>
      </c>
      <c r="I44">
        <f t="shared" si="9"/>
        <v>1.5</v>
      </c>
      <c r="J44">
        <f t="shared" si="10"/>
        <v>30</v>
      </c>
      <c r="K44">
        <f t="shared" si="11"/>
        <v>18.47</v>
      </c>
      <c r="L44" s="6">
        <v>124</v>
      </c>
    </row>
    <row r="45" spans="1:12" ht="15.75" customHeight="1" x14ac:dyDescent="0.25">
      <c r="A45" s="4">
        <v>34</v>
      </c>
      <c r="B45" s="5">
        <f t="shared" si="8"/>
        <v>45029</v>
      </c>
      <c r="C45" s="6">
        <v>61.120000000000005</v>
      </c>
      <c r="D45" s="6">
        <v>20</v>
      </c>
      <c r="E45" s="6">
        <v>0.3</v>
      </c>
      <c r="F45" s="7">
        <v>36.440000000000005</v>
      </c>
      <c r="G45" s="6">
        <v>184</v>
      </c>
      <c r="H45" s="6">
        <v>61.120000000000005</v>
      </c>
      <c r="I45">
        <f t="shared" si="9"/>
        <v>20</v>
      </c>
      <c r="J45">
        <f t="shared" si="10"/>
        <v>0.3</v>
      </c>
      <c r="K45">
        <f t="shared" si="11"/>
        <v>36.440000000000005</v>
      </c>
      <c r="L45" s="6">
        <v>74</v>
      </c>
    </row>
    <row r="46" spans="1:12" ht="15.75" customHeight="1" x14ac:dyDescent="0.25">
      <c r="A46" s="4">
        <v>35</v>
      </c>
      <c r="B46" s="5">
        <f t="shared" si="8"/>
        <v>45030</v>
      </c>
      <c r="C46" s="6">
        <v>24.14</v>
      </c>
      <c r="D46" s="6">
        <v>1.4</v>
      </c>
      <c r="E46" s="6">
        <v>7.4</v>
      </c>
      <c r="F46" s="7">
        <v>7.3099999999999987</v>
      </c>
      <c r="G46" s="6">
        <v>91.5</v>
      </c>
      <c r="H46" s="6">
        <v>24.14</v>
      </c>
      <c r="I46">
        <f t="shared" si="9"/>
        <v>1.4</v>
      </c>
      <c r="J46">
        <f t="shared" si="10"/>
        <v>7.4</v>
      </c>
      <c r="K46">
        <f t="shared" si="11"/>
        <v>7.3099999999999987</v>
      </c>
      <c r="L46" s="6">
        <v>127</v>
      </c>
    </row>
    <row r="47" spans="1:12" ht="15.75" customHeight="1" x14ac:dyDescent="0.25">
      <c r="A47" s="4">
        <v>36</v>
      </c>
      <c r="B47" s="5">
        <f t="shared" si="8"/>
        <v>45031</v>
      </c>
      <c r="C47" s="6">
        <v>62.14</v>
      </c>
      <c r="D47" s="6">
        <v>4.0999999999999996</v>
      </c>
      <c r="E47" s="6">
        <v>8.5</v>
      </c>
      <c r="F47" s="7">
        <v>27.72</v>
      </c>
      <c r="G47" s="6">
        <v>129</v>
      </c>
      <c r="H47" s="6">
        <v>62.14</v>
      </c>
      <c r="I47">
        <f t="shared" si="9"/>
        <v>4.0999999999999996</v>
      </c>
      <c r="J47">
        <f t="shared" si="10"/>
        <v>8.5</v>
      </c>
      <c r="K47">
        <f t="shared" si="11"/>
        <v>27.72</v>
      </c>
      <c r="L47" s="6">
        <v>123</v>
      </c>
    </row>
    <row r="48" spans="1:12" ht="15.75" customHeight="1" x14ac:dyDescent="0.25">
      <c r="A48" s="4">
        <v>37</v>
      </c>
      <c r="B48" s="5">
        <f t="shared" si="8"/>
        <v>45032</v>
      </c>
      <c r="C48" s="6">
        <v>56.379999999999995</v>
      </c>
      <c r="D48" s="6">
        <v>43.8</v>
      </c>
      <c r="E48" s="6">
        <v>5</v>
      </c>
      <c r="F48" s="7">
        <v>46.589999999999996</v>
      </c>
      <c r="G48" s="6">
        <v>256</v>
      </c>
      <c r="H48" s="6">
        <v>56.379999999999995</v>
      </c>
      <c r="I48">
        <f t="shared" si="9"/>
        <v>43.8</v>
      </c>
      <c r="J48">
        <f t="shared" si="10"/>
        <v>5</v>
      </c>
      <c r="K48">
        <f t="shared" si="11"/>
        <v>46.589999999999996</v>
      </c>
      <c r="L48" s="6">
        <v>104</v>
      </c>
    </row>
    <row r="49" spans="1:12" ht="15.75" customHeight="1" x14ac:dyDescent="0.25">
      <c r="A49" s="4">
        <v>38</v>
      </c>
      <c r="B49" s="5">
        <f t="shared" si="8"/>
        <v>45033</v>
      </c>
      <c r="C49" s="6">
        <v>24.94</v>
      </c>
      <c r="D49" s="6">
        <v>49.4</v>
      </c>
      <c r="E49" s="6">
        <v>45.7</v>
      </c>
      <c r="F49" s="7">
        <v>13.89</v>
      </c>
      <c r="G49" s="6">
        <v>152</v>
      </c>
      <c r="H49" s="6">
        <v>24.94</v>
      </c>
      <c r="I49">
        <f t="shared" si="9"/>
        <v>49.4</v>
      </c>
      <c r="J49">
        <f t="shared" si="10"/>
        <v>45.7</v>
      </c>
      <c r="K49">
        <f t="shared" si="11"/>
        <v>13.89</v>
      </c>
      <c r="L49" s="6">
        <v>106</v>
      </c>
    </row>
    <row r="50" spans="1:12" ht="15.75" customHeight="1" x14ac:dyDescent="0.25">
      <c r="A50" s="4">
        <v>39</v>
      </c>
      <c r="B50" s="5">
        <f t="shared" si="8"/>
        <v>45034</v>
      </c>
      <c r="C50" s="6">
        <v>14.620000000000001</v>
      </c>
      <c r="D50" s="6">
        <v>26.7</v>
      </c>
      <c r="E50" s="6">
        <v>35.1</v>
      </c>
      <c r="F50" s="7">
        <v>3.6199999999999992</v>
      </c>
      <c r="G50" s="6">
        <v>114</v>
      </c>
      <c r="H50" s="6">
        <v>14.620000000000001</v>
      </c>
      <c r="I50">
        <f t="shared" si="9"/>
        <v>26.7</v>
      </c>
      <c r="J50">
        <f t="shared" si="10"/>
        <v>35.1</v>
      </c>
      <c r="K50">
        <f t="shared" si="11"/>
        <v>3.6199999999999992</v>
      </c>
      <c r="L50" s="6">
        <v>110</v>
      </c>
    </row>
    <row r="51" spans="1:12" ht="15.75" customHeight="1" x14ac:dyDescent="0.25">
      <c r="A51" s="4">
        <v>40</v>
      </c>
      <c r="B51" s="5">
        <f t="shared" si="8"/>
        <v>45035</v>
      </c>
      <c r="C51" s="6">
        <v>53.6</v>
      </c>
      <c r="D51" s="6">
        <v>37.700000000000003</v>
      </c>
      <c r="E51" s="6">
        <v>32</v>
      </c>
      <c r="F51" s="7">
        <v>28.850000000000005</v>
      </c>
      <c r="G51" s="6">
        <v>230</v>
      </c>
      <c r="H51" s="6">
        <v>53.6</v>
      </c>
      <c r="I51">
        <f t="shared" si="9"/>
        <v>37.700000000000003</v>
      </c>
      <c r="J51">
        <f t="shared" si="10"/>
        <v>32</v>
      </c>
      <c r="K51">
        <f t="shared" si="11"/>
        <v>28.850000000000005</v>
      </c>
      <c r="L51" s="6">
        <v>114</v>
      </c>
    </row>
    <row r="52" spans="1:12" ht="15.75" customHeight="1" x14ac:dyDescent="0.25">
      <c r="A52" s="4">
        <v>41</v>
      </c>
      <c r="B52" s="5">
        <f t="shared" si="8"/>
        <v>45036</v>
      </c>
      <c r="C52" s="6">
        <v>45.5</v>
      </c>
      <c r="D52" s="6">
        <v>22.3</v>
      </c>
      <c r="E52" s="6">
        <v>31.6</v>
      </c>
      <c r="F52" s="7">
        <v>18.759999999999998</v>
      </c>
      <c r="G52" s="6">
        <v>179</v>
      </c>
      <c r="H52" s="6">
        <v>45.5</v>
      </c>
      <c r="I52">
        <f t="shared" si="9"/>
        <v>22.3</v>
      </c>
      <c r="J52">
        <f t="shared" si="10"/>
        <v>31.6</v>
      </c>
      <c r="K52">
        <f t="shared" si="11"/>
        <v>18.759999999999998</v>
      </c>
      <c r="L52" s="6">
        <v>83</v>
      </c>
    </row>
    <row r="53" spans="1:12" ht="15.75" customHeight="1" x14ac:dyDescent="0.25">
      <c r="A53" s="4">
        <v>42</v>
      </c>
      <c r="B53" s="5">
        <f t="shared" si="8"/>
        <v>45037</v>
      </c>
      <c r="C53" s="6">
        <v>40.4</v>
      </c>
      <c r="D53" s="6">
        <v>33.4</v>
      </c>
      <c r="E53" s="6">
        <v>38.700000000000003</v>
      </c>
      <c r="F53" s="7">
        <v>18.919999999999995</v>
      </c>
      <c r="G53" s="6">
        <v>186</v>
      </c>
      <c r="H53" s="6">
        <v>40.4</v>
      </c>
      <c r="I53">
        <f t="shared" si="9"/>
        <v>33.4</v>
      </c>
      <c r="J53">
        <f t="shared" si="10"/>
        <v>38.700000000000003</v>
      </c>
      <c r="K53">
        <f t="shared" si="11"/>
        <v>18.919999999999995</v>
      </c>
      <c r="L53" s="6">
        <v>128</v>
      </c>
    </row>
    <row r="54" spans="1:12" ht="15.75" customHeight="1" x14ac:dyDescent="0.25">
      <c r="A54" s="4">
        <v>43</v>
      </c>
      <c r="B54" s="5">
        <f t="shared" si="8"/>
        <v>45038</v>
      </c>
      <c r="C54" s="6">
        <v>67.72</v>
      </c>
      <c r="D54" s="6">
        <v>27.7</v>
      </c>
      <c r="E54" s="6">
        <v>1.8</v>
      </c>
      <c r="F54" s="7">
        <v>42.49</v>
      </c>
      <c r="G54" s="6">
        <v>226</v>
      </c>
      <c r="H54" s="6">
        <v>67.72</v>
      </c>
      <c r="I54">
        <f t="shared" si="9"/>
        <v>27.7</v>
      </c>
      <c r="J54">
        <f t="shared" si="10"/>
        <v>1.8</v>
      </c>
      <c r="K54">
        <f t="shared" si="11"/>
        <v>42.49</v>
      </c>
      <c r="L54" s="6">
        <v>105</v>
      </c>
    </row>
    <row r="55" spans="1:12" ht="15.75" customHeight="1" x14ac:dyDescent="0.25">
      <c r="A55" s="4">
        <v>44</v>
      </c>
      <c r="B55" s="5">
        <f t="shared" si="8"/>
        <v>45039</v>
      </c>
      <c r="C55" s="6">
        <v>51.38</v>
      </c>
      <c r="D55" s="6">
        <v>8.4</v>
      </c>
      <c r="E55" s="6">
        <v>26.4</v>
      </c>
      <c r="F55" s="7">
        <v>14.33</v>
      </c>
      <c r="G55" s="6">
        <v>149</v>
      </c>
      <c r="H55" s="6">
        <v>51.38</v>
      </c>
      <c r="I55">
        <f t="shared" si="9"/>
        <v>8.4</v>
      </c>
      <c r="J55">
        <f t="shared" si="10"/>
        <v>26.4</v>
      </c>
      <c r="K55">
        <f t="shared" si="11"/>
        <v>14.33</v>
      </c>
      <c r="L55" s="6">
        <v>126</v>
      </c>
    </row>
    <row r="56" spans="1:12" ht="15.75" customHeight="1" x14ac:dyDescent="0.25">
      <c r="A56" s="4">
        <v>45</v>
      </c>
      <c r="B56" s="5">
        <f t="shared" si="8"/>
        <v>45040</v>
      </c>
      <c r="C56" s="6">
        <v>12.02</v>
      </c>
      <c r="D56" s="6">
        <v>25.7</v>
      </c>
      <c r="E56" s="6">
        <v>43.3</v>
      </c>
      <c r="F56" s="7">
        <v>18.04</v>
      </c>
      <c r="G56" s="6">
        <v>89</v>
      </c>
      <c r="H56" s="6">
        <v>12.02</v>
      </c>
      <c r="I56">
        <f t="shared" si="9"/>
        <v>25.7</v>
      </c>
      <c r="J56">
        <f t="shared" si="10"/>
        <v>43.3</v>
      </c>
      <c r="K56">
        <f t="shared" si="11"/>
        <v>18.04</v>
      </c>
      <c r="L56" s="6">
        <v>152</v>
      </c>
    </row>
    <row r="57" spans="1:12" ht="15.75" customHeight="1" x14ac:dyDescent="0.25">
      <c r="A57" s="4">
        <v>46</v>
      </c>
      <c r="B57" s="5">
        <f t="shared" si="8"/>
        <v>45041</v>
      </c>
      <c r="C57" s="6">
        <v>42.019999999999996</v>
      </c>
      <c r="D57" s="6">
        <v>22.5</v>
      </c>
      <c r="E57" s="6">
        <v>31.5</v>
      </c>
      <c r="F57" s="7">
        <v>16.159999999999997</v>
      </c>
      <c r="G57" s="6">
        <v>165</v>
      </c>
      <c r="H57" s="6">
        <v>42.019999999999996</v>
      </c>
      <c r="I57">
        <f t="shared" si="9"/>
        <v>22.5</v>
      </c>
      <c r="J57">
        <f t="shared" si="10"/>
        <v>31.5</v>
      </c>
      <c r="K57">
        <f t="shared" si="11"/>
        <v>16.159999999999997</v>
      </c>
      <c r="L57" s="6">
        <v>116</v>
      </c>
    </row>
    <row r="58" spans="1:12" ht="15.75" customHeight="1" x14ac:dyDescent="0.25">
      <c r="A58" s="4">
        <v>47</v>
      </c>
      <c r="B58" s="5">
        <f t="shared" si="8"/>
        <v>45042</v>
      </c>
      <c r="C58" s="6">
        <v>18.940000000000001</v>
      </c>
      <c r="D58" s="6">
        <v>9.9</v>
      </c>
      <c r="E58" s="6">
        <v>35.700000000000003</v>
      </c>
      <c r="F58" s="7">
        <v>19.64</v>
      </c>
      <c r="G58" s="6">
        <v>119</v>
      </c>
      <c r="H58" s="6">
        <v>18.940000000000001</v>
      </c>
      <c r="I58">
        <f t="shared" si="9"/>
        <v>9.9</v>
      </c>
      <c r="J58">
        <f t="shared" si="10"/>
        <v>35.700000000000003</v>
      </c>
      <c r="K58">
        <f t="shared" si="11"/>
        <v>19.64</v>
      </c>
      <c r="L58" s="6">
        <v>119</v>
      </c>
    </row>
    <row r="59" spans="1:12" ht="15.75" customHeight="1" x14ac:dyDescent="0.25">
      <c r="A59" s="4">
        <v>48</v>
      </c>
      <c r="B59" s="5">
        <f t="shared" si="8"/>
        <v>45043</v>
      </c>
      <c r="C59" s="6">
        <v>52.980000000000004</v>
      </c>
      <c r="D59" s="6">
        <v>41.5</v>
      </c>
      <c r="E59" s="6">
        <v>18.5</v>
      </c>
      <c r="F59" s="7">
        <v>37.340000000000003</v>
      </c>
      <c r="G59" s="6">
        <v>245</v>
      </c>
      <c r="H59" s="6">
        <v>52.980000000000004</v>
      </c>
      <c r="I59">
        <f t="shared" si="9"/>
        <v>41.5</v>
      </c>
      <c r="J59">
        <f t="shared" si="10"/>
        <v>18.5</v>
      </c>
      <c r="K59">
        <f t="shared" si="11"/>
        <v>37.340000000000003</v>
      </c>
      <c r="L59" s="6">
        <v>151</v>
      </c>
    </row>
    <row r="60" spans="1:12" ht="15.75" customHeight="1" x14ac:dyDescent="0.25">
      <c r="A60" s="4">
        <v>49</v>
      </c>
      <c r="B60" s="5">
        <f t="shared" si="8"/>
        <v>45044</v>
      </c>
      <c r="C60" s="6">
        <v>46.44</v>
      </c>
      <c r="D60" s="6">
        <v>15.8</v>
      </c>
      <c r="E60" s="6">
        <v>49.9</v>
      </c>
      <c r="F60" s="7">
        <v>10.659999999999997</v>
      </c>
      <c r="G60" s="6">
        <v>149</v>
      </c>
      <c r="H60" s="6">
        <v>46.44</v>
      </c>
      <c r="I60">
        <f t="shared" si="9"/>
        <v>15.8</v>
      </c>
      <c r="J60">
        <f t="shared" si="10"/>
        <v>49.9</v>
      </c>
      <c r="K60">
        <f t="shared" si="11"/>
        <v>10.659999999999997</v>
      </c>
      <c r="L60" s="6">
        <v>120</v>
      </c>
    </row>
    <row r="61" spans="1:12" ht="15.75" customHeight="1" x14ac:dyDescent="0.25">
      <c r="A61" s="4">
        <v>50</v>
      </c>
      <c r="B61" s="5">
        <f t="shared" si="8"/>
        <v>45045</v>
      </c>
      <c r="C61" s="6">
        <v>14.38</v>
      </c>
      <c r="D61" s="6">
        <v>11.7</v>
      </c>
      <c r="E61" s="6">
        <v>36.799999999999997</v>
      </c>
      <c r="F61" s="7">
        <v>17.82</v>
      </c>
      <c r="G61" s="6">
        <v>111</v>
      </c>
      <c r="H61" s="6">
        <v>14.38</v>
      </c>
      <c r="I61">
        <f t="shared" si="9"/>
        <v>11.7</v>
      </c>
      <c r="J61">
        <f t="shared" si="10"/>
        <v>36.799999999999997</v>
      </c>
      <c r="K61">
        <f t="shared" si="11"/>
        <v>17.82</v>
      </c>
      <c r="L61" s="6">
        <v>112</v>
      </c>
    </row>
    <row r="62" spans="1:12" ht="15.75" customHeight="1" x14ac:dyDescent="0.25">
      <c r="A62" s="4">
        <v>51</v>
      </c>
      <c r="B62" s="5">
        <f t="shared" si="8"/>
        <v>45046</v>
      </c>
      <c r="C62" s="6">
        <v>43.96</v>
      </c>
      <c r="D62" s="6">
        <v>3.1</v>
      </c>
      <c r="E62" s="6">
        <v>34.6</v>
      </c>
      <c r="F62" s="7">
        <v>7.6899999999999995</v>
      </c>
      <c r="G62" s="6">
        <v>122</v>
      </c>
      <c r="H62" s="6">
        <v>43.96</v>
      </c>
      <c r="I62">
        <f t="shared" si="9"/>
        <v>3.1</v>
      </c>
      <c r="J62">
        <f t="shared" si="10"/>
        <v>34.6</v>
      </c>
      <c r="K62">
        <f t="shared" si="11"/>
        <v>7.6899999999999995</v>
      </c>
      <c r="L62" s="6">
        <v>110</v>
      </c>
    </row>
    <row r="63" spans="1:12" ht="15.75" customHeight="1" x14ac:dyDescent="0.25">
      <c r="A63" s="4">
        <v>52</v>
      </c>
      <c r="B63" s="5">
        <f t="shared" si="8"/>
        <v>45047</v>
      </c>
      <c r="C63" s="6">
        <v>29.080000000000002</v>
      </c>
      <c r="D63" s="6">
        <v>9.6</v>
      </c>
      <c r="E63" s="6">
        <v>3.6</v>
      </c>
      <c r="F63" s="7">
        <v>13.4</v>
      </c>
      <c r="G63" s="6">
        <v>112</v>
      </c>
      <c r="H63" s="6">
        <v>29.080000000000002</v>
      </c>
      <c r="I63">
        <f t="shared" si="9"/>
        <v>9.6</v>
      </c>
      <c r="J63">
        <f t="shared" si="10"/>
        <v>3.6</v>
      </c>
      <c r="K63">
        <f t="shared" si="11"/>
        <v>13.4</v>
      </c>
      <c r="L63" s="6">
        <v>113</v>
      </c>
    </row>
    <row r="64" spans="1:12" ht="15.75" customHeight="1" x14ac:dyDescent="0.25">
      <c r="A64" s="4">
        <v>53</v>
      </c>
      <c r="B64" s="5">
        <f t="shared" si="8"/>
        <v>45048</v>
      </c>
      <c r="C64" s="6">
        <v>44.28</v>
      </c>
      <c r="D64" s="6">
        <v>41.7</v>
      </c>
      <c r="E64" s="6">
        <v>39.6</v>
      </c>
      <c r="F64" s="7">
        <v>26.65</v>
      </c>
      <c r="G64" s="6">
        <v>235</v>
      </c>
      <c r="H64" s="6">
        <v>44.28</v>
      </c>
      <c r="I64">
        <f t="shared" si="9"/>
        <v>41.7</v>
      </c>
      <c r="J64">
        <f t="shared" si="10"/>
        <v>39.6</v>
      </c>
      <c r="K64">
        <f t="shared" si="11"/>
        <v>26.65</v>
      </c>
      <c r="L64" s="6">
        <v>116</v>
      </c>
    </row>
    <row r="65" spans="1:12" ht="15.75" customHeight="1" x14ac:dyDescent="0.25">
      <c r="A65" s="4">
        <v>54</v>
      </c>
      <c r="B65" s="5">
        <f t="shared" si="8"/>
        <v>45049</v>
      </c>
      <c r="C65" s="6">
        <v>41.519999999999996</v>
      </c>
      <c r="D65" s="6">
        <v>46.2</v>
      </c>
      <c r="E65" s="6">
        <v>58.7</v>
      </c>
      <c r="F65" s="7">
        <v>17.879999999999995</v>
      </c>
      <c r="G65" s="6">
        <v>225</v>
      </c>
      <c r="H65" s="6">
        <v>41.519999999999996</v>
      </c>
      <c r="I65">
        <f t="shared" si="9"/>
        <v>46.2</v>
      </c>
      <c r="J65">
        <f t="shared" si="10"/>
        <v>58.7</v>
      </c>
      <c r="K65">
        <f t="shared" si="11"/>
        <v>17.879999999999995</v>
      </c>
      <c r="L65" s="6">
        <v>122</v>
      </c>
    </row>
    <row r="66" spans="1:12" ht="15.75" customHeight="1" x14ac:dyDescent="0.25">
      <c r="A66" s="4">
        <v>55</v>
      </c>
      <c r="B66" s="5">
        <f t="shared" si="8"/>
        <v>45050</v>
      </c>
      <c r="C66" s="6">
        <v>62.54</v>
      </c>
      <c r="D66" s="6">
        <v>28.8</v>
      </c>
      <c r="E66" s="6">
        <v>15.9</v>
      </c>
      <c r="F66" s="7">
        <v>34.31</v>
      </c>
      <c r="G66" s="6">
        <v>220</v>
      </c>
      <c r="H66" s="6">
        <v>62.54</v>
      </c>
      <c r="I66">
        <f t="shared" si="9"/>
        <v>28.8</v>
      </c>
      <c r="J66">
        <f t="shared" si="10"/>
        <v>15.9</v>
      </c>
      <c r="K66">
        <f t="shared" si="11"/>
        <v>34.31</v>
      </c>
      <c r="L66" s="6">
        <v>109</v>
      </c>
    </row>
    <row r="67" spans="1:12" ht="15.75" customHeight="1" x14ac:dyDescent="0.25">
      <c r="A67" s="4">
        <v>56</v>
      </c>
      <c r="B67" s="5">
        <f t="shared" si="8"/>
        <v>45051</v>
      </c>
      <c r="C67" s="6">
        <v>40.78</v>
      </c>
      <c r="D67" s="6">
        <v>49.4</v>
      </c>
      <c r="E67" s="6">
        <v>60</v>
      </c>
      <c r="F67" s="7">
        <v>20.590000000000003</v>
      </c>
      <c r="G67" s="6">
        <v>240</v>
      </c>
      <c r="H67" s="6">
        <v>40.78</v>
      </c>
      <c r="I67">
        <f t="shared" si="9"/>
        <v>49.4</v>
      </c>
      <c r="J67">
        <f t="shared" si="10"/>
        <v>60</v>
      </c>
      <c r="K67">
        <f t="shared" si="11"/>
        <v>20.590000000000003</v>
      </c>
      <c r="L67" s="6">
        <v>149</v>
      </c>
    </row>
    <row r="68" spans="1:12" ht="15.75" customHeight="1" x14ac:dyDescent="0.25">
      <c r="A68" s="4">
        <v>57</v>
      </c>
      <c r="B68" s="5">
        <f t="shared" si="8"/>
        <v>45052</v>
      </c>
      <c r="C68" s="6">
        <v>3.46</v>
      </c>
      <c r="D68" s="6">
        <v>28.1</v>
      </c>
      <c r="E68" s="6">
        <v>41.4</v>
      </c>
      <c r="F68" s="7">
        <v>18.220000000000002</v>
      </c>
      <c r="G68" s="6">
        <v>71</v>
      </c>
      <c r="H68" s="6">
        <v>3.46</v>
      </c>
      <c r="I68">
        <f t="shared" si="9"/>
        <v>28.1</v>
      </c>
      <c r="J68">
        <f t="shared" si="10"/>
        <v>41.4</v>
      </c>
      <c r="K68">
        <f t="shared" si="11"/>
        <v>18.220000000000002</v>
      </c>
      <c r="L68" s="6">
        <v>95</v>
      </c>
    </row>
    <row r="69" spans="1:12" ht="15.75" customHeight="1" x14ac:dyDescent="0.25">
      <c r="A69" s="4">
        <v>58</v>
      </c>
      <c r="B69" s="5">
        <f t="shared" si="8"/>
        <v>45053</v>
      </c>
      <c r="C69" s="6">
        <v>33.239999999999995</v>
      </c>
      <c r="D69" s="6">
        <v>19.2</v>
      </c>
      <c r="E69" s="6">
        <v>16.600000000000001</v>
      </c>
      <c r="F69" s="7">
        <v>16.579999999999998</v>
      </c>
      <c r="G69" s="6">
        <v>133</v>
      </c>
      <c r="H69" s="6">
        <v>33.239999999999995</v>
      </c>
      <c r="I69">
        <f t="shared" si="9"/>
        <v>19.2</v>
      </c>
      <c r="J69">
        <f t="shared" si="10"/>
        <v>16.600000000000001</v>
      </c>
      <c r="K69">
        <f t="shared" si="11"/>
        <v>16.579999999999998</v>
      </c>
      <c r="L69" s="6">
        <v>177</v>
      </c>
    </row>
    <row r="70" spans="1:12" ht="15.75" customHeight="1" x14ac:dyDescent="0.25">
      <c r="A70" s="4">
        <v>59</v>
      </c>
      <c r="B70" s="5">
        <f t="shared" si="8"/>
        <v>45054</v>
      </c>
      <c r="C70" s="6">
        <v>49.160000000000004</v>
      </c>
      <c r="D70" s="6">
        <v>49.6</v>
      </c>
      <c r="E70" s="6">
        <v>37.700000000000003</v>
      </c>
      <c r="F70" s="7">
        <v>30.8</v>
      </c>
      <c r="G70" s="6">
        <v>239</v>
      </c>
      <c r="H70" s="6">
        <v>49.160000000000004</v>
      </c>
      <c r="I70">
        <f t="shared" si="9"/>
        <v>49.6</v>
      </c>
      <c r="J70">
        <f t="shared" si="10"/>
        <v>37.700000000000003</v>
      </c>
      <c r="K70">
        <f t="shared" si="11"/>
        <v>30.8</v>
      </c>
      <c r="L70" s="6">
        <v>133</v>
      </c>
    </row>
    <row r="71" spans="1:12" ht="15.75" customHeight="1" x14ac:dyDescent="0.25">
      <c r="A71" s="4">
        <v>60</v>
      </c>
      <c r="B71" s="5">
        <f t="shared" si="8"/>
        <v>45055</v>
      </c>
      <c r="C71" s="6">
        <v>50.14</v>
      </c>
      <c r="D71" s="6">
        <v>29.5</v>
      </c>
      <c r="E71" s="6">
        <v>9.3000000000000007</v>
      </c>
      <c r="F71" s="7">
        <v>32.1</v>
      </c>
      <c r="G71" s="6">
        <v>186</v>
      </c>
      <c r="H71" s="6">
        <v>50.14</v>
      </c>
      <c r="I71">
        <f t="shared" si="9"/>
        <v>29.5</v>
      </c>
      <c r="J71">
        <f t="shared" si="10"/>
        <v>9.3000000000000007</v>
      </c>
      <c r="K71">
        <f t="shared" si="11"/>
        <v>32.1</v>
      </c>
      <c r="L71" s="6">
        <v>91.5</v>
      </c>
    </row>
    <row r="72" spans="1:12" ht="15.75" customHeight="1" x14ac:dyDescent="0.25">
      <c r="A72" s="4">
        <v>61</v>
      </c>
      <c r="B72" s="5">
        <f t="shared" si="8"/>
        <v>45056</v>
      </c>
      <c r="C72" s="6">
        <v>16.7</v>
      </c>
      <c r="D72" s="6">
        <v>2</v>
      </c>
      <c r="E72" s="6">
        <v>21.4</v>
      </c>
      <c r="F72" s="7">
        <v>17.79</v>
      </c>
      <c r="G72" s="6">
        <v>83</v>
      </c>
      <c r="H72" s="6">
        <v>16.7</v>
      </c>
      <c r="I72">
        <f t="shared" si="9"/>
        <v>2</v>
      </c>
      <c r="J72">
        <f t="shared" si="10"/>
        <v>21.4</v>
      </c>
      <c r="K72">
        <f t="shared" si="11"/>
        <v>17.79</v>
      </c>
      <c r="L72" s="6">
        <v>152</v>
      </c>
    </row>
    <row r="73" spans="1:12" ht="15.75" customHeight="1" x14ac:dyDescent="0.25">
      <c r="A73" s="4">
        <v>62</v>
      </c>
      <c r="B73" s="5">
        <f t="shared" si="8"/>
        <v>45057</v>
      </c>
      <c r="C73" s="6">
        <v>61.260000000000005</v>
      </c>
      <c r="D73" s="6">
        <v>42.7</v>
      </c>
      <c r="E73" s="6">
        <v>54.7</v>
      </c>
      <c r="F73" s="7">
        <v>25.6</v>
      </c>
      <c r="G73" s="6">
        <v>240</v>
      </c>
      <c r="H73" s="6">
        <v>61.260000000000005</v>
      </c>
      <c r="I73">
        <f t="shared" si="9"/>
        <v>42.7</v>
      </c>
      <c r="J73">
        <f t="shared" si="10"/>
        <v>54.7</v>
      </c>
      <c r="K73">
        <f t="shared" si="11"/>
        <v>25.6</v>
      </c>
      <c r="L73" s="6">
        <v>149</v>
      </c>
    </row>
    <row r="74" spans="1:12" ht="15.75" customHeight="1" x14ac:dyDescent="0.25">
      <c r="A74" s="4">
        <v>63</v>
      </c>
      <c r="B74" s="5">
        <f t="shared" si="8"/>
        <v>45058</v>
      </c>
      <c r="C74" s="6">
        <v>53.86</v>
      </c>
      <c r="D74" s="6">
        <v>15.5</v>
      </c>
      <c r="E74" s="6">
        <v>27.3</v>
      </c>
      <c r="F74" s="7">
        <v>20.759999999999998</v>
      </c>
      <c r="G74" s="6">
        <v>170</v>
      </c>
      <c r="H74" s="6">
        <v>53.86</v>
      </c>
      <c r="I74">
        <f t="shared" si="9"/>
        <v>15.5</v>
      </c>
      <c r="J74">
        <f t="shared" si="10"/>
        <v>27.3</v>
      </c>
      <c r="K74">
        <f t="shared" si="11"/>
        <v>20.759999999999998</v>
      </c>
      <c r="L74" s="6">
        <v>108</v>
      </c>
    </row>
    <row r="75" spans="1:12" ht="15.75" customHeight="1" x14ac:dyDescent="0.25">
      <c r="A75" s="4">
        <v>64</v>
      </c>
      <c r="B75" s="5">
        <f t="shared" si="8"/>
        <v>45059</v>
      </c>
      <c r="C75" s="6">
        <v>27.54</v>
      </c>
      <c r="D75" s="6">
        <v>29.6</v>
      </c>
      <c r="E75" s="6">
        <v>8.4</v>
      </c>
      <c r="F75" s="7">
        <v>21.71</v>
      </c>
      <c r="G75" s="6">
        <v>298.75</v>
      </c>
      <c r="H75" s="6">
        <v>27.54</v>
      </c>
      <c r="I75">
        <f t="shared" si="9"/>
        <v>29.6</v>
      </c>
      <c r="J75">
        <f t="shared" si="10"/>
        <v>8.4</v>
      </c>
      <c r="K75">
        <f t="shared" si="11"/>
        <v>21.71</v>
      </c>
      <c r="L75" s="6">
        <v>173</v>
      </c>
    </row>
    <row r="76" spans="1:12" ht="15.75" customHeight="1" x14ac:dyDescent="0.25">
      <c r="A76" s="4">
        <v>65</v>
      </c>
      <c r="B76" s="5">
        <f t="shared" si="8"/>
        <v>45060</v>
      </c>
      <c r="C76" s="6">
        <v>27.22</v>
      </c>
      <c r="D76" s="6">
        <v>42.8</v>
      </c>
      <c r="E76" s="6">
        <v>28.9</v>
      </c>
      <c r="F76" s="7">
        <v>22.949999999999996</v>
      </c>
      <c r="G76" s="6">
        <v>187</v>
      </c>
      <c r="H76" s="6">
        <v>27.22</v>
      </c>
      <c r="I76">
        <f t="shared" si="9"/>
        <v>42.8</v>
      </c>
      <c r="J76">
        <f t="shared" si="10"/>
        <v>28.9</v>
      </c>
      <c r="K76">
        <f t="shared" si="11"/>
        <v>22.949999999999996</v>
      </c>
      <c r="L76" s="6">
        <v>113</v>
      </c>
    </row>
    <row r="77" spans="1:12" ht="15.75" customHeight="1" x14ac:dyDescent="0.25">
      <c r="A77" s="4">
        <v>66</v>
      </c>
      <c r="B77" s="5">
        <f t="shared" si="8"/>
        <v>45061</v>
      </c>
      <c r="C77" s="6">
        <v>21.8</v>
      </c>
      <c r="D77" s="6">
        <v>9.3000000000000007</v>
      </c>
      <c r="E77" s="6">
        <v>0.9</v>
      </c>
      <c r="F77" s="7">
        <v>11.190000000000001</v>
      </c>
      <c r="G77" s="6">
        <v>109</v>
      </c>
      <c r="H77" s="6">
        <v>21.8</v>
      </c>
      <c r="I77">
        <f t="shared" ref="I77:I140" si="12">IF(ISBLANK(D77),$D$8,D77)</f>
        <v>9.3000000000000007</v>
      </c>
      <c r="J77">
        <f t="shared" ref="J77:J140" si="13">IF(ISBLANK(E77),$E$8,E77)</f>
        <v>0.9</v>
      </c>
      <c r="K77">
        <f t="shared" ref="K77:K140" si="14">IF(ISBLANK(F77),$F$8,F77)</f>
        <v>11.190000000000001</v>
      </c>
      <c r="L77" s="6">
        <v>104</v>
      </c>
    </row>
    <row r="78" spans="1:12" ht="15.75" customHeight="1" x14ac:dyDescent="0.25">
      <c r="A78" s="4">
        <v>67</v>
      </c>
      <c r="B78" s="5">
        <f t="shared" si="8"/>
        <v>45062</v>
      </c>
      <c r="C78" s="6">
        <v>15.3</v>
      </c>
      <c r="D78" s="6">
        <v>24.6</v>
      </c>
      <c r="E78" s="6">
        <v>2.2000000000000002</v>
      </c>
      <c r="F78" s="7">
        <v>14.57</v>
      </c>
      <c r="G78" s="6">
        <v>104</v>
      </c>
      <c r="H78" s="6">
        <v>15.3</v>
      </c>
      <c r="I78">
        <f t="shared" si="12"/>
        <v>24.6</v>
      </c>
      <c r="J78">
        <f t="shared" si="13"/>
        <v>2.2000000000000002</v>
      </c>
      <c r="K78">
        <f t="shared" si="14"/>
        <v>14.57</v>
      </c>
      <c r="L78" s="6">
        <v>187</v>
      </c>
    </row>
    <row r="79" spans="1:12" ht="15.75" customHeight="1" x14ac:dyDescent="0.25">
      <c r="A79" s="4">
        <v>68</v>
      </c>
      <c r="B79" s="5">
        <f t="shared" si="8"/>
        <v>45063</v>
      </c>
      <c r="C79" s="6">
        <v>30.860000000000003</v>
      </c>
      <c r="D79" s="6">
        <v>14.5</v>
      </c>
      <c r="E79" s="6">
        <v>10.199999999999999</v>
      </c>
      <c r="F79" s="7">
        <v>17.100000000000001</v>
      </c>
      <c r="G79" s="6">
        <v>135</v>
      </c>
      <c r="H79" s="6">
        <v>30.860000000000003</v>
      </c>
      <c r="I79">
        <f t="shared" si="12"/>
        <v>14.5</v>
      </c>
      <c r="J79">
        <f t="shared" si="13"/>
        <v>10.199999999999999</v>
      </c>
      <c r="K79">
        <f t="shared" si="14"/>
        <v>17.100000000000001</v>
      </c>
      <c r="L79" s="6">
        <v>298.75</v>
      </c>
    </row>
    <row r="80" spans="1:12" ht="15.75" customHeight="1" x14ac:dyDescent="0.25">
      <c r="A80" s="4">
        <v>69</v>
      </c>
      <c r="B80" s="5">
        <f t="shared" si="8"/>
        <v>45064</v>
      </c>
      <c r="C80" s="6">
        <v>51.480000000000004</v>
      </c>
      <c r="D80" s="6">
        <v>27.5</v>
      </c>
      <c r="E80" s="6">
        <v>11</v>
      </c>
      <c r="F80" s="7">
        <v>33.090000000000003</v>
      </c>
      <c r="G80" s="6">
        <v>196</v>
      </c>
      <c r="H80" s="6">
        <v>51.480000000000004</v>
      </c>
      <c r="I80">
        <f t="shared" si="12"/>
        <v>27.5</v>
      </c>
      <c r="J80">
        <f t="shared" si="13"/>
        <v>11</v>
      </c>
      <c r="K80">
        <f t="shared" si="14"/>
        <v>33.090000000000003</v>
      </c>
      <c r="L80" s="6">
        <v>147</v>
      </c>
    </row>
    <row r="81" spans="1:12" ht="15.75" customHeight="1" x14ac:dyDescent="0.25">
      <c r="A81" s="4">
        <v>70</v>
      </c>
      <c r="B81" s="5">
        <f t="shared" si="8"/>
        <v>45065</v>
      </c>
      <c r="C81" s="6">
        <v>48.36</v>
      </c>
      <c r="D81" s="6">
        <v>43.9</v>
      </c>
      <c r="E81" s="6">
        <v>27.2</v>
      </c>
      <c r="F81" s="7">
        <v>32.749999999999993</v>
      </c>
      <c r="G81" s="6">
        <v>229</v>
      </c>
      <c r="H81" s="6">
        <v>48.36</v>
      </c>
      <c r="I81">
        <f t="shared" si="12"/>
        <v>43.9</v>
      </c>
      <c r="J81">
        <f t="shared" si="13"/>
        <v>27.2</v>
      </c>
      <c r="K81">
        <f t="shared" si="14"/>
        <v>32.749999999999993</v>
      </c>
      <c r="L81" s="6">
        <v>116</v>
      </c>
    </row>
    <row r="82" spans="1:12" ht="15.75" customHeight="1" x14ac:dyDescent="0.25">
      <c r="A82" s="4">
        <v>71</v>
      </c>
      <c r="B82" s="5">
        <f t="shared" si="8"/>
        <v>45066</v>
      </c>
      <c r="C82" s="6">
        <v>44.82</v>
      </c>
      <c r="D82" s="6">
        <v>30.6</v>
      </c>
      <c r="E82" s="6">
        <v>38.700000000000003</v>
      </c>
      <c r="F82" s="7">
        <v>19.729999999999997</v>
      </c>
      <c r="G82" s="6">
        <v>196</v>
      </c>
      <c r="H82" s="6">
        <v>44.82</v>
      </c>
      <c r="I82">
        <f t="shared" si="12"/>
        <v>30.6</v>
      </c>
      <c r="J82">
        <f t="shared" si="13"/>
        <v>38.700000000000003</v>
      </c>
      <c r="K82">
        <f t="shared" si="14"/>
        <v>19.729999999999997</v>
      </c>
      <c r="L82" s="6">
        <v>183</v>
      </c>
    </row>
    <row r="83" spans="1:12" ht="15.75" customHeight="1" x14ac:dyDescent="0.25">
      <c r="A83" s="4">
        <v>72</v>
      </c>
      <c r="B83" s="5">
        <f t="shared" si="8"/>
        <v>45067</v>
      </c>
      <c r="C83" s="6">
        <v>29.96</v>
      </c>
      <c r="D83" s="6">
        <v>14.3</v>
      </c>
      <c r="E83" s="6">
        <v>31.7</v>
      </c>
      <c r="F83" s="7">
        <v>5.4500000000000028</v>
      </c>
      <c r="G83" s="6">
        <v>129</v>
      </c>
      <c r="H83" s="6">
        <v>29.96</v>
      </c>
      <c r="I83">
        <f t="shared" si="12"/>
        <v>14.3</v>
      </c>
      <c r="J83">
        <f t="shared" si="13"/>
        <v>31.7</v>
      </c>
      <c r="K83">
        <f t="shared" si="14"/>
        <v>5.4500000000000028</v>
      </c>
      <c r="L83" s="6">
        <v>180</v>
      </c>
    </row>
    <row r="84" spans="1:12" ht="15.75" customHeight="1" x14ac:dyDescent="0.25">
      <c r="A84" s="4">
        <v>73</v>
      </c>
      <c r="B84" s="5">
        <f t="shared" si="8"/>
        <v>45068</v>
      </c>
      <c r="C84" s="6">
        <v>15.36</v>
      </c>
      <c r="D84" s="6">
        <v>33</v>
      </c>
      <c r="E84" s="6">
        <v>19.3</v>
      </c>
      <c r="F84" s="7">
        <v>11.459999999999999</v>
      </c>
      <c r="G84" s="6">
        <v>106</v>
      </c>
      <c r="H84" s="6">
        <v>15.36</v>
      </c>
      <c r="I84">
        <f t="shared" si="12"/>
        <v>33</v>
      </c>
      <c r="J84">
        <f t="shared" si="13"/>
        <v>19.3</v>
      </c>
      <c r="K84">
        <f t="shared" si="14"/>
        <v>11.459999999999999</v>
      </c>
      <c r="L84" s="6">
        <v>132</v>
      </c>
    </row>
    <row r="85" spans="1:12" ht="15.75" customHeight="1" x14ac:dyDescent="0.25">
      <c r="A85" s="4">
        <v>74</v>
      </c>
      <c r="B85" s="5">
        <f t="shared" si="8"/>
        <v>45069</v>
      </c>
      <c r="C85" s="6">
        <v>28.880000000000003</v>
      </c>
      <c r="D85" s="6">
        <v>5.7</v>
      </c>
      <c r="E85" s="6">
        <v>31.3</v>
      </c>
      <c r="F85" s="7">
        <v>3.2699999999999996</v>
      </c>
      <c r="G85" s="6">
        <v>117</v>
      </c>
      <c r="H85" s="6">
        <v>28.880000000000003</v>
      </c>
      <c r="I85">
        <f t="shared" si="12"/>
        <v>5.7</v>
      </c>
      <c r="J85">
        <f t="shared" si="13"/>
        <v>31.3</v>
      </c>
      <c r="K85">
        <f t="shared" si="14"/>
        <v>3.2699999999999996</v>
      </c>
      <c r="L85" s="6">
        <v>117</v>
      </c>
    </row>
    <row r="86" spans="1:12" ht="15.75" customHeight="1" x14ac:dyDescent="0.25">
      <c r="A86" s="4">
        <v>75</v>
      </c>
      <c r="B86" s="5">
        <f t="shared" si="8"/>
        <v>45070</v>
      </c>
      <c r="C86" s="6">
        <v>50.68</v>
      </c>
      <c r="D86" s="6" t="s">
        <v>27</v>
      </c>
      <c r="E86" s="6">
        <v>13.1</v>
      </c>
      <c r="F86" s="7">
        <v>28.4</v>
      </c>
      <c r="G86" s="6">
        <v>187</v>
      </c>
      <c r="H86" s="6">
        <v>50.68</v>
      </c>
      <c r="I86" t="str">
        <f t="shared" si="12"/>
        <v>-</v>
      </c>
      <c r="J86">
        <f t="shared" si="13"/>
        <v>13.1</v>
      </c>
      <c r="K86">
        <f t="shared" si="14"/>
        <v>28.4</v>
      </c>
      <c r="L86" s="6">
        <v>140</v>
      </c>
    </row>
    <row r="87" spans="1:12" ht="15.75" customHeight="1" x14ac:dyDescent="0.25">
      <c r="A87" s="4">
        <v>76</v>
      </c>
      <c r="B87" s="5">
        <f t="shared" si="8"/>
        <v>45071</v>
      </c>
      <c r="C87" s="6">
        <v>12.379999999999999</v>
      </c>
      <c r="D87" s="6">
        <v>43.7</v>
      </c>
      <c r="E87" s="6">
        <v>89.4</v>
      </c>
      <c r="F87" s="7">
        <v>7.7799999999999976</v>
      </c>
      <c r="G87" s="6">
        <v>105</v>
      </c>
      <c r="H87" s="6">
        <v>12.379999999999999</v>
      </c>
      <c r="I87">
        <f t="shared" si="12"/>
        <v>43.7</v>
      </c>
      <c r="J87">
        <f t="shared" si="13"/>
        <v>89.4</v>
      </c>
      <c r="K87">
        <f t="shared" si="14"/>
        <v>7.7799999999999976</v>
      </c>
      <c r="L87" s="6">
        <v>112</v>
      </c>
    </row>
    <row r="88" spans="1:12" ht="15.75" customHeight="1" x14ac:dyDescent="0.25">
      <c r="A88" s="4">
        <v>77</v>
      </c>
      <c r="B88" s="5">
        <f t="shared" si="8"/>
        <v>45072</v>
      </c>
      <c r="C88" s="6">
        <v>13.5</v>
      </c>
      <c r="D88" s="6">
        <v>1.6</v>
      </c>
      <c r="E88" s="6">
        <v>20.7</v>
      </c>
      <c r="F88" s="7">
        <v>15.27</v>
      </c>
      <c r="G88" s="6">
        <v>83</v>
      </c>
      <c r="H88" s="6">
        <v>13.5</v>
      </c>
      <c r="I88">
        <f t="shared" si="12"/>
        <v>1.6</v>
      </c>
      <c r="J88">
        <f t="shared" si="13"/>
        <v>20.7</v>
      </c>
      <c r="K88">
        <f t="shared" si="14"/>
        <v>15.27</v>
      </c>
      <c r="L88" s="6">
        <v>172</v>
      </c>
    </row>
    <row r="89" spans="1:12" ht="15.75" customHeight="1" x14ac:dyDescent="0.25">
      <c r="A89" s="4">
        <v>78</v>
      </c>
      <c r="B89" s="5">
        <f t="shared" si="8"/>
        <v>45073</v>
      </c>
      <c r="C89" s="6">
        <v>25.1</v>
      </c>
      <c r="D89" s="6">
        <v>28.5</v>
      </c>
      <c r="E89" s="6">
        <v>14.2</v>
      </c>
      <c r="F89" s="7">
        <v>20.62</v>
      </c>
      <c r="G89" s="6">
        <v>149</v>
      </c>
      <c r="H89" s="6">
        <v>25.1</v>
      </c>
      <c r="I89">
        <f t="shared" si="12"/>
        <v>28.5</v>
      </c>
      <c r="J89">
        <f t="shared" si="13"/>
        <v>14.2</v>
      </c>
      <c r="K89">
        <f t="shared" si="14"/>
        <v>20.62</v>
      </c>
      <c r="L89" s="6">
        <v>127</v>
      </c>
    </row>
    <row r="90" spans="1:12" ht="15.75" customHeight="1" x14ac:dyDescent="0.25">
      <c r="A90" s="4">
        <v>79</v>
      </c>
      <c r="B90" s="5">
        <f t="shared" si="8"/>
        <v>45074</v>
      </c>
      <c r="C90" s="6">
        <v>8.08</v>
      </c>
      <c r="D90" s="6">
        <v>29.9</v>
      </c>
      <c r="E90" s="6">
        <v>9.4</v>
      </c>
      <c r="F90" s="7">
        <v>11.729999999999999</v>
      </c>
      <c r="G90" s="6">
        <v>62</v>
      </c>
      <c r="H90" s="6">
        <v>8.08</v>
      </c>
      <c r="I90">
        <f t="shared" si="12"/>
        <v>29.9</v>
      </c>
      <c r="J90">
        <f t="shared" si="13"/>
        <v>9.4</v>
      </c>
      <c r="K90">
        <f t="shared" si="14"/>
        <v>11.729999999999999</v>
      </c>
      <c r="L90" s="6">
        <v>129</v>
      </c>
    </row>
    <row r="91" spans="1:12" ht="15.75" customHeight="1" x14ac:dyDescent="0.25">
      <c r="A91" s="4">
        <v>80</v>
      </c>
      <c r="B91" s="5">
        <f t="shared" si="8"/>
        <v>45075</v>
      </c>
      <c r="C91" s="6">
        <v>31.2</v>
      </c>
      <c r="D91" s="6">
        <v>7.7</v>
      </c>
      <c r="E91" s="6">
        <v>23.1</v>
      </c>
      <c r="F91" s="7">
        <v>6.2099999999999991</v>
      </c>
      <c r="G91" s="6">
        <v>120</v>
      </c>
      <c r="H91" s="6">
        <v>31.2</v>
      </c>
      <c r="I91">
        <f t="shared" si="12"/>
        <v>7.7</v>
      </c>
      <c r="J91">
        <f t="shared" si="13"/>
        <v>23.1</v>
      </c>
      <c r="K91">
        <f t="shared" si="14"/>
        <v>6.2099999999999991</v>
      </c>
      <c r="L91" s="6">
        <v>117</v>
      </c>
    </row>
    <row r="92" spans="1:12" ht="15.75" customHeight="1" x14ac:dyDescent="0.25">
      <c r="A92" s="4">
        <v>81</v>
      </c>
      <c r="B92" s="5">
        <f t="shared" si="8"/>
        <v>45076</v>
      </c>
      <c r="C92" s="6">
        <v>19.28</v>
      </c>
      <c r="D92" s="6">
        <v>26.7</v>
      </c>
      <c r="E92" s="6">
        <v>22.3</v>
      </c>
      <c r="F92" s="7">
        <v>12.070000000000002</v>
      </c>
      <c r="G92" s="6">
        <v>120</v>
      </c>
      <c r="H92" s="6">
        <v>19.28</v>
      </c>
      <c r="I92">
        <f t="shared" si="12"/>
        <v>26.7</v>
      </c>
      <c r="J92">
        <f t="shared" si="13"/>
        <v>22.3</v>
      </c>
      <c r="K92">
        <f t="shared" si="14"/>
        <v>12.070000000000002</v>
      </c>
      <c r="L92" s="6">
        <v>135</v>
      </c>
    </row>
    <row r="93" spans="1:12" ht="15.75" customHeight="1" x14ac:dyDescent="0.25">
      <c r="A93" s="4">
        <v>82</v>
      </c>
      <c r="B93" s="5">
        <f t="shared" si="8"/>
        <v>45077</v>
      </c>
      <c r="C93" s="6">
        <v>151.96</v>
      </c>
      <c r="D93" s="6">
        <v>4.0999999999999996</v>
      </c>
      <c r="E93" s="6">
        <v>36.9</v>
      </c>
      <c r="F93" s="7">
        <v>11.270000000000001</v>
      </c>
      <c r="G93" s="6">
        <v>128</v>
      </c>
      <c r="H93" s="6">
        <v>151.96</v>
      </c>
      <c r="I93">
        <f t="shared" si="12"/>
        <v>4.0999999999999996</v>
      </c>
      <c r="J93">
        <f t="shared" si="13"/>
        <v>36.9</v>
      </c>
      <c r="K93">
        <f t="shared" si="14"/>
        <v>11.270000000000001</v>
      </c>
      <c r="L93" s="6">
        <v>152</v>
      </c>
    </row>
    <row r="94" spans="1:12" ht="15.75" customHeight="1" x14ac:dyDescent="0.25">
      <c r="A94" s="4">
        <v>83</v>
      </c>
      <c r="B94" s="5">
        <f t="shared" si="8"/>
        <v>45078</v>
      </c>
      <c r="C94" s="6">
        <v>18.059999999999999</v>
      </c>
      <c r="D94" s="6">
        <v>20.3</v>
      </c>
      <c r="E94" s="6">
        <v>32.5</v>
      </c>
      <c r="F94" s="7">
        <v>4.68</v>
      </c>
      <c r="G94" s="6">
        <v>128</v>
      </c>
      <c r="H94" s="6">
        <v>18.059999999999999</v>
      </c>
      <c r="I94">
        <f t="shared" si="12"/>
        <v>20.3</v>
      </c>
      <c r="J94">
        <f t="shared" si="13"/>
        <v>32.5</v>
      </c>
      <c r="K94">
        <f t="shared" si="14"/>
        <v>4.68</v>
      </c>
      <c r="L94" s="6">
        <v>123</v>
      </c>
    </row>
    <row r="95" spans="1:12" ht="15.75" customHeight="1" x14ac:dyDescent="0.25">
      <c r="A95" s="4">
        <v>84</v>
      </c>
      <c r="B95" s="5">
        <f t="shared" si="8"/>
        <v>45079</v>
      </c>
      <c r="C95" s="6">
        <v>22.68</v>
      </c>
      <c r="D95" s="6">
        <v>44.5</v>
      </c>
      <c r="E95" s="6">
        <v>35.6</v>
      </c>
      <c r="F95" s="7">
        <v>14.849999999999998</v>
      </c>
      <c r="G95" s="6">
        <v>149</v>
      </c>
      <c r="H95" s="6">
        <v>22.68</v>
      </c>
      <c r="I95">
        <f t="shared" si="12"/>
        <v>44.5</v>
      </c>
      <c r="J95">
        <f t="shared" si="13"/>
        <v>35.6</v>
      </c>
      <c r="K95">
        <f t="shared" si="14"/>
        <v>14.849999999999998</v>
      </c>
      <c r="L95" s="6">
        <v>120</v>
      </c>
    </row>
    <row r="96" spans="1:12" ht="15.75" customHeight="1" x14ac:dyDescent="0.25">
      <c r="A96" s="4">
        <v>85</v>
      </c>
      <c r="B96" s="5">
        <f t="shared" si="8"/>
        <v>45080</v>
      </c>
      <c r="C96" s="6">
        <v>45.7</v>
      </c>
      <c r="D96" s="6">
        <v>43</v>
      </c>
      <c r="E96" s="6">
        <v>33.799999999999997</v>
      </c>
      <c r="F96" s="7">
        <v>29.330000000000002</v>
      </c>
      <c r="G96" s="6">
        <v>223</v>
      </c>
      <c r="H96" s="6">
        <v>45.7</v>
      </c>
      <c r="I96">
        <f t="shared" si="12"/>
        <v>43</v>
      </c>
      <c r="J96">
        <f t="shared" si="13"/>
        <v>33.799999999999997</v>
      </c>
      <c r="K96">
        <f t="shared" si="14"/>
        <v>29.330000000000002</v>
      </c>
      <c r="L96" s="6">
        <v>125</v>
      </c>
    </row>
    <row r="97" spans="1:12" ht="15.75" customHeight="1" x14ac:dyDescent="0.25">
      <c r="A97" s="4">
        <v>86</v>
      </c>
      <c r="B97" s="5">
        <f t="shared" si="8"/>
        <v>45081</v>
      </c>
      <c r="C97" s="6">
        <v>42.64</v>
      </c>
      <c r="D97" s="6">
        <v>18.399999999999999</v>
      </c>
      <c r="E97" s="6">
        <v>65.7</v>
      </c>
      <c r="F97" s="7">
        <v>2.2399999999999984</v>
      </c>
      <c r="G97" s="6">
        <v>159</v>
      </c>
      <c r="H97" s="6">
        <v>42.64</v>
      </c>
      <c r="I97">
        <f t="shared" si="12"/>
        <v>18.399999999999999</v>
      </c>
      <c r="J97">
        <f t="shared" si="13"/>
        <v>65.7</v>
      </c>
      <c r="K97">
        <f t="shared" si="14"/>
        <v>2.2399999999999984</v>
      </c>
      <c r="L97" s="6">
        <v>197</v>
      </c>
    </row>
    <row r="98" spans="1:12" ht="15.75" customHeight="1" x14ac:dyDescent="0.25">
      <c r="A98" s="4">
        <v>87</v>
      </c>
      <c r="B98" s="5">
        <f t="shared" si="8"/>
        <v>45082</v>
      </c>
      <c r="C98" s="6">
        <v>21.259999999999998</v>
      </c>
      <c r="D98" s="6">
        <v>27.5</v>
      </c>
      <c r="E98" s="6">
        <v>16</v>
      </c>
      <c r="F98" s="7">
        <v>14.979999999999999</v>
      </c>
      <c r="G98" s="6">
        <v>122</v>
      </c>
      <c r="H98" s="6">
        <v>21.259999999999998</v>
      </c>
      <c r="I98">
        <f t="shared" si="12"/>
        <v>27.5</v>
      </c>
      <c r="J98">
        <f t="shared" si="13"/>
        <v>16</v>
      </c>
      <c r="K98">
        <f t="shared" si="14"/>
        <v>14.979999999999999</v>
      </c>
      <c r="L98" s="6">
        <v>93</v>
      </c>
    </row>
    <row r="99" spans="1:12" ht="15.75" customHeight="1" x14ac:dyDescent="0.25">
      <c r="A99" s="4">
        <v>88</v>
      </c>
      <c r="B99" s="5">
        <f t="shared" si="8"/>
        <v>45083</v>
      </c>
      <c r="C99" s="6">
        <v>28.14</v>
      </c>
      <c r="D99" s="6">
        <v>40.6</v>
      </c>
      <c r="E99" s="6">
        <v>63.2</v>
      </c>
      <c r="F99" s="7">
        <v>6.09</v>
      </c>
      <c r="G99" s="6">
        <v>180</v>
      </c>
      <c r="H99" s="6">
        <v>28.14</v>
      </c>
      <c r="I99">
        <f t="shared" si="12"/>
        <v>40.6</v>
      </c>
      <c r="J99">
        <f t="shared" si="13"/>
        <v>63.2</v>
      </c>
      <c r="K99">
        <f t="shared" si="14"/>
        <v>6.09</v>
      </c>
      <c r="L99" s="6">
        <v>138</v>
      </c>
    </row>
    <row r="100" spans="1:12" ht="15.75" customHeight="1" x14ac:dyDescent="0.25">
      <c r="A100" s="4">
        <v>89</v>
      </c>
      <c r="B100" s="5">
        <f t="shared" si="8"/>
        <v>45084</v>
      </c>
      <c r="C100" s="6">
        <v>27.66</v>
      </c>
      <c r="D100" s="6">
        <v>225.5</v>
      </c>
      <c r="E100" s="6">
        <v>73.400000000000006</v>
      </c>
      <c r="F100" s="7">
        <v>12.219999999999995</v>
      </c>
      <c r="G100" s="6">
        <v>147</v>
      </c>
      <c r="H100" s="6">
        <v>27.66</v>
      </c>
      <c r="I100">
        <f t="shared" si="12"/>
        <v>225.5</v>
      </c>
      <c r="J100">
        <f t="shared" si="13"/>
        <v>73.400000000000006</v>
      </c>
      <c r="K100">
        <f t="shared" si="14"/>
        <v>12.219999999999995</v>
      </c>
      <c r="L100" s="6">
        <v>148</v>
      </c>
    </row>
    <row r="101" spans="1:12" ht="15.75" customHeight="1" x14ac:dyDescent="0.25">
      <c r="A101" s="4">
        <v>90</v>
      </c>
      <c r="B101" s="5">
        <f t="shared" si="8"/>
        <v>45085</v>
      </c>
      <c r="C101" s="6">
        <v>23.96</v>
      </c>
      <c r="D101" s="6">
        <v>47.8</v>
      </c>
      <c r="E101" s="6">
        <v>51.4</v>
      </c>
      <c r="F101" s="7">
        <v>14.319999999999993</v>
      </c>
      <c r="G101" s="6">
        <v>177</v>
      </c>
      <c r="H101" s="6">
        <v>23.96</v>
      </c>
      <c r="I101">
        <f t="shared" si="12"/>
        <v>47.8</v>
      </c>
      <c r="J101">
        <f t="shared" si="13"/>
        <v>51.4</v>
      </c>
      <c r="K101">
        <f t="shared" si="14"/>
        <v>14.319999999999993</v>
      </c>
      <c r="L101" s="6">
        <v>184</v>
      </c>
    </row>
    <row r="102" spans="1:12" ht="15.75" customHeight="1" x14ac:dyDescent="0.25">
      <c r="A102" s="4">
        <v>91</v>
      </c>
      <c r="B102" s="5">
        <f t="shared" si="8"/>
        <v>45086</v>
      </c>
      <c r="C102" s="6">
        <v>31.860000000000003</v>
      </c>
      <c r="D102" s="6">
        <v>4.9000000000000004</v>
      </c>
      <c r="E102" s="6">
        <v>9.3000000000000007</v>
      </c>
      <c r="F102" s="7">
        <v>12.160000000000002</v>
      </c>
      <c r="G102" s="6">
        <v>93</v>
      </c>
      <c r="H102" s="6">
        <v>31.860000000000003</v>
      </c>
      <c r="I102">
        <f t="shared" si="12"/>
        <v>4.9000000000000004</v>
      </c>
      <c r="J102">
        <f t="shared" si="13"/>
        <v>9.3000000000000007</v>
      </c>
      <c r="K102">
        <f t="shared" si="14"/>
        <v>12.160000000000002</v>
      </c>
      <c r="L102" s="6">
        <v>133</v>
      </c>
    </row>
    <row r="103" spans="1:12" ht="15.75" customHeight="1" x14ac:dyDescent="0.25">
      <c r="A103" s="4">
        <v>92</v>
      </c>
      <c r="B103" s="5">
        <f t="shared" si="8"/>
        <v>45087</v>
      </c>
      <c r="C103" s="6">
        <v>14.72</v>
      </c>
      <c r="D103" s="6">
        <v>1.5</v>
      </c>
      <c r="E103" s="6">
        <v>33</v>
      </c>
      <c r="F103" s="7">
        <v>10.41</v>
      </c>
      <c r="G103" s="6">
        <v>74</v>
      </c>
      <c r="H103" s="6">
        <v>14.72</v>
      </c>
      <c r="I103">
        <f t="shared" si="12"/>
        <v>1.5</v>
      </c>
      <c r="J103">
        <f t="shared" si="13"/>
        <v>33</v>
      </c>
      <c r="K103">
        <f t="shared" si="14"/>
        <v>10.41</v>
      </c>
      <c r="L103" s="6">
        <v>171</v>
      </c>
    </row>
    <row r="104" spans="1:12" ht="15.75" customHeight="1" x14ac:dyDescent="0.25">
      <c r="A104" s="4">
        <v>93</v>
      </c>
      <c r="B104" s="5">
        <f t="shared" si="8"/>
        <v>45088</v>
      </c>
      <c r="C104" s="6">
        <v>47.54</v>
      </c>
      <c r="D104" s="6">
        <v>33.5</v>
      </c>
      <c r="E104" s="6">
        <v>59</v>
      </c>
      <c r="F104" s="7">
        <v>14.919999999999995</v>
      </c>
      <c r="G104" s="6">
        <v>811</v>
      </c>
      <c r="H104" s="6">
        <v>47.54</v>
      </c>
      <c r="I104">
        <f t="shared" si="12"/>
        <v>33.5</v>
      </c>
      <c r="J104">
        <f t="shared" si="13"/>
        <v>59</v>
      </c>
      <c r="K104">
        <f t="shared" si="14"/>
        <v>14.919999999999995</v>
      </c>
      <c r="L104" s="6">
        <v>193</v>
      </c>
    </row>
    <row r="105" spans="1:12" ht="15.75" customHeight="1" x14ac:dyDescent="0.25">
      <c r="A105" s="4">
        <v>94</v>
      </c>
      <c r="B105" s="5">
        <f t="shared" si="8"/>
        <v>45089</v>
      </c>
      <c r="C105" s="6">
        <v>56.18</v>
      </c>
      <c r="D105" s="6">
        <v>36.5</v>
      </c>
      <c r="E105" s="6">
        <v>72.3</v>
      </c>
      <c r="F105" s="7">
        <v>14.420000000000002</v>
      </c>
      <c r="G105" s="6">
        <v>225</v>
      </c>
      <c r="H105" s="6">
        <v>56.18</v>
      </c>
      <c r="I105">
        <f t="shared" si="12"/>
        <v>36.5</v>
      </c>
      <c r="J105">
        <f t="shared" si="13"/>
        <v>72.3</v>
      </c>
      <c r="K105">
        <f t="shared" si="14"/>
        <v>14.420000000000002</v>
      </c>
      <c r="L105" s="6">
        <v>108</v>
      </c>
    </row>
    <row r="106" spans="1:12" ht="15.75" customHeight="1" x14ac:dyDescent="0.25">
      <c r="A106" s="4">
        <v>95</v>
      </c>
      <c r="B106" s="5">
        <f t="shared" si="8"/>
        <v>45090</v>
      </c>
      <c r="C106" s="6">
        <v>30.48</v>
      </c>
      <c r="D106" s="6">
        <v>14</v>
      </c>
      <c r="E106" s="6">
        <v>10.9</v>
      </c>
      <c r="F106" s="7">
        <v>13.380000000000003</v>
      </c>
      <c r="G106" s="6">
        <v>117</v>
      </c>
      <c r="H106" s="6">
        <v>30.48</v>
      </c>
      <c r="I106">
        <f t="shared" si="12"/>
        <v>14</v>
      </c>
      <c r="J106">
        <f t="shared" si="13"/>
        <v>10.9</v>
      </c>
      <c r="K106">
        <f t="shared" si="14"/>
        <v>13.380000000000003</v>
      </c>
      <c r="L106" s="6">
        <v>163</v>
      </c>
    </row>
    <row r="107" spans="1:12" ht="15.75" customHeight="1" x14ac:dyDescent="0.25">
      <c r="A107" s="4">
        <v>96</v>
      </c>
      <c r="B107" s="5">
        <f t="shared" si="8"/>
        <v>45091</v>
      </c>
      <c r="C107" s="6">
        <v>40.660000000000004</v>
      </c>
      <c r="D107" s="6">
        <v>31.6</v>
      </c>
      <c r="E107" s="6">
        <v>52.9</v>
      </c>
      <c r="F107" s="7">
        <v>10.970000000000002</v>
      </c>
      <c r="G107" s="6">
        <v>175</v>
      </c>
      <c r="H107" s="6">
        <v>40.660000000000004</v>
      </c>
      <c r="I107">
        <f t="shared" si="12"/>
        <v>31.6</v>
      </c>
      <c r="J107">
        <f t="shared" si="13"/>
        <v>52.9</v>
      </c>
      <c r="K107">
        <f t="shared" si="14"/>
        <v>10.970000000000002</v>
      </c>
      <c r="L107" s="6">
        <v>108</v>
      </c>
    </row>
    <row r="108" spans="1:12" ht="15.75" customHeight="1" x14ac:dyDescent="0.25">
      <c r="A108" s="4">
        <v>97</v>
      </c>
      <c r="B108" s="5">
        <f t="shared" si="8"/>
        <v>45092</v>
      </c>
      <c r="C108" s="6">
        <v>46.519999999999996</v>
      </c>
      <c r="D108" s="6">
        <v>3.5</v>
      </c>
      <c r="E108" s="6">
        <v>5.9</v>
      </c>
      <c r="F108" s="7">
        <v>19.149999999999999</v>
      </c>
      <c r="G108" s="6">
        <v>132</v>
      </c>
      <c r="H108" s="6">
        <v>46.519999999999996</v>
      </c>
      <c r="I108">
        <f t="shared" si="12"/>
        <v>3.5</v>
      </c>
      <c r="J108">
        <f t="shared" si="13"/>
        <v>5.9</v>
      </c>
      <c r="K108">
        <f t="shared" si="14"/>
        <v>19.149999999999999</v>
      </c>
      <c r="L108" s="6">
        <v>129</v>
      </c>
    </row>
    <row r="109" spans="1:12" ht="15.75" customHeight="1" x14ac:dyDescent="0.25">
      <c r="A109" s="4">
        <v>98</v>
      </c>
      <c r="B109" s="5">
        <f t="shared" si="8"/>
        <v>45093</v>
      </c>
      <c r="C109" s="6">
        <v>41.980000000000004</v>
      </c>
      <c r="D109" s="6">
        <v>21</v>
      </c>
      <c r="E109" s="6">
        <v>22</v>
      </c>
      <c r="F109" s="7">
        <v>20.190000000000001</v>
      </c>
      <c r="G109" s="6">
        <v>168</v>
      </c>
      <c r="H109" s="6">
        <v>41.980000000000004</v>
      </c>
      <c r="I109">
        <f t="shared" si="12"/>
        <v>21</v>
      </c>
      <c r="J109">
        <f t="shared" si="13"/>
        <v>22</v>
      </c>
      <c r="K109">
        <f t="shared" si="14"/>
        <v>20.190000000000001</v>
      </c>
      <c r="L109" s="6">
        <v>208</v>
      </c>
    </row>
    <row r="110" spans="1:12" ht="15.75" customHeight="1" x14ac:dyDescent="0.25">
      <c r="A110" s="4">
        <v>99</v>
      </c>
      <c r="B110" s="5">
        <f t="shared" si="8"/>
        <v>45094</v>
      </c>
      <c r="C110" s="6">
        <v>64.94</v>
      </c>
      <c r="D110" s="6">
        <v>42.3</v>
      </c>
      <c r="E110" s="6">
        <v>51.2</v>
      </c>
      <c r="F110" s="7">
        <v>29.639999999999993</v>
      </c>
      <c r="G110" s="6">
        <v>257</v>
      </c>
      <c r="H110" s="6">
        <v>64.94</v>
      </c>
      <c r="I110">
        <f t="shared" si="12"/>
        <v>42.3</v>
      </c>
      <c r="J110">
        <f t="shared" si="13"/>
        <v>51.2</v>
      </c>
      <c r="K110">
        <f t="shared" si="14"/>
        <v>29.639999999999993</v>
      </c>
      <c r="L110" s="6">
        <v>196</v>
      </c>
    </row>
    <row r="111" spans="1:12" ht="15.75" customHeight="1" x14ac:dyDescent="0.25">
      <c r="A111" s="4">
        <v>100</v>
      </c>
      <c r="B111" s="5">
        <f t="shared" si="8"/>
        <v>45095</v>
      </c>
      <c r="C111" s="6">
        <v>28.04</v>
      </c>
      <c r="D111" s="6">
        <v>41.7</v>
      </c>
      <c r="E111" s="6">
        <v>45.9</v>
      </c>
      <c r="F111" s="7">
        <v>16.010000000000005</v>
      </c>
      <c r="G111" s="6">
        <v>183</v>
      </c>
      <c r="H111" s="6">
        <v>28.04</v>
      </c>
      <c r="I111">
        <f t="shared" si="12"/>
        <v>41.7</v>
      </c>
      <c r="J111">
        <f t="shared" si="13"/>
        <v>45.9</v>
      </c>
      <c r="K111">
        <f t="shared" si="14"/>
        <v>16.010000000000005</v>
      </c>
      <c r="L111" s="6">
        <v>129</v>
      </c>
    </row>
    <row r="112" spans="1:12" ht="15.75" customHeight="1" x14ac:dyDescent="0.25">
      <c r="A112" s="4">
        <v>101</v>
      </c>
      <c r="B112" s="5">
        <f t="shared" si="8"/>
        <v>45096</v>
      </c>
      <c r="C112" s="6">
        <v>51.480000000000004</v>
      </c>
      <c r="D112" s="6">
        <v>4.3</v>
      </c>
      <c r="E112" s="6">
        <v>49.8</v>
      </c>
      <c r="F112" s="7">
        <v>4.4699999999999989</v>
      </c>
      <c r="G112" s="6">
        <v>137</v>
      </c>
      <c r="H112" s="6">
        <v>51.480000000000004</v>
      </c>
      <c r="I112">
        <f t="shared" si="12"/>
        <v>4.3</v>
      </c>
      <c r="J112">
        <f t="shared" si="13"/>
        <v>49.8</v>
      </c>
      <c r="K112">
        <f t="shared" si="14"/>
        <v>4.4699999999999989</v>
      </c>
      <c r="L112" s="6">
        <v>163</v>
      </c>
    </row>
    <row r="113" spans="1:12" ht="15.75" customHeight="1" x14ac:dyDescent="0.25">
      <c r="A113" s="4">
        <v>102</v>
      </c>
      <c r="B113" s="5">
        <f t="shared" si="8"/>
        <v>45097</v>
      </c>
      <c r="C113" s="6">
        <v>63.279999999999994</v>
      </c>
      <c r="D113" s="6">
        <v>36.299999999999997</v>
      </c>
      <c r="E113" s="6">
        <v>93.625</v>
      </c>
      <c r="F113" s="7">
        <v>10.339999999999989</v>
      </c>
      <c r="G113" s="6">
        <v>254</v>
      </c>
      <c r="H113" s="6">
        <v>63.279999999999994</v>
      </c>
      <c r="I113">
        <f t="shared" si="12"/>
        <v>36.299999999999997</v>
      </c>
      <c r="J113">
        <f t="shared" si="13"/>
        <v>93.625</v>
      </c>
      <c r="K113">
        <f t="shared" si="14"/>
        <v>10.339999999999989</v>
      </c>
      <c r="L113" s="6">
        <v>167</v>
      </c>
    </row>
    <row r="114" spans="1:12" ht="15.75" customHeight="1" x14ac:dyDescent="0.25">
      <c r="A114" s="4">
        <v>103</v>
      </c>
      <c r="B114" s="5">
        <f t="shared" si="8"/>
        <v>45098</v>
      </c>
      <c r="C114" s="6">
        <v>64.039999999999992</v>
      </c>
      <c r="D114" s="6">
        <v>10.1</v>
      </c>
      <c r="E114" s="6">
        <v>21.4</v>
      </c>
      <c r="F114" s="7">
        <v>24.509999999999998</v>
      </c>
      <c r="G114" s="6">
        <v>158</v>
      </c>
      <c r="H114" s="6">
        <v>64.039999999999992</v>
      </c>
      <c r="I114">
        <f t="shared" si="12"/>
        <v>10.1</v>
      </c>
      <c r="J114">
        <f t="shared" si="13"/>
        <v>21.4</v>
      </c>
      <c r="K114">
        <f t="shared" si="14"/>
        <v>24.509999999999998</v>
      </c>
      <c r="L114" s="6">
        <v>159</v>
      </c>
    </row>
    <row r="115" spans="1:12" ht="15.75" customHeight="1" x14ac:dyDescent="0.25">
      <c r="A115" s="4">
        <v>104</v>
      </c>
      <c r="B115" s="5">
        <f t="shared" si="8"/>
        <v>45099</v>
      </c>
      <c r="C115" s="6">
        <v>38.58</v>
      </c>
      <c r="D115" s="6">
        <v>17.2</v>
      </c>
      <c r="E115" s="6">
        <v>17.899999999999999</v>
      </c>
      <c r="F115" s="7">
        <v>20.23</v>
      </c>
      <c r="G115" s="6">
        <v>163</v>
      </c>
      <c r="H115" s="6">
        <v>38.58</v>
      </c>
      <c r="I115">
        <f t="shared" si="12"/>
        <v>17.2</v>
      </c>
      <c r="J115">
        <f t="shared" si="13"/>
        <v>17.899999999999999</v>
      </c>
      <c r="K115">
        <f t="shared" si="14"/>
        <v>20.23</v>
      </c>
      <c r="L115" s="6">
        <v>111</v>
      </c>
    </row>
    <row r="116" spans="1:12" ht="15.75" customHeight="1" x14ac:dyDescent="0.25">
      <c r="A116" s="4">
        <v>105</v>
      </c>
      <c r="B116" s="5">
        <f t="shared" si="8"/>
        <v>45100</v>
      </c>
      <c r="C116" s="6">
        <v>54.64</v>
      </c>
      <c r="D116" s="6">
        <v>34.299999999999997</v>
      </c>
      <c r="E116" s="6">
        <v>5.3</v>
      </c>
      <c r="F116" s="7">
        <v>38.85</v>
      </c>
      <c r="G116" s="6">
        <v>208</v>
      </c>
      <c r="H116" s="6">
        <v>54.64</v>
      </c>
      <c r="I116">
        <f t="shared" si="12"/>
        <v>34.299999999999997</v>
      </c>
      <c r="J116">
        <f t="shared" si="13"/>
        <v>5.3</v>
      </c>
      <c r="K116">
        <f t="shared" si="14"/>
        <v>38.85</v>
      </c>
      <c r="L116" s="6">
        <v>131</v>
      </c>
    </row>
    <row r="117" spans="1:12" ht="15.75" customHeight="1" x14ac:dyDescent="0.25">
      <c r="A117" s="4">
        <v>106</v>
      </c>
      <c r="B117" s="5">
        <f t="shared" si="8"/>
        <v>45101</v>
      </c>
      <c r="C117" s="6">
        <v>37.58</v>
      </c>
      <c r="D117" s="6">
        <v>46.4</v>
      </c>
      <c r="E117" s="6">
        <v>59</v>
      </c>
      <c r="F117" s="7">
        <v>13.39</v>
      </c>
      <c r="G117" s="6">
        <v>196</v>
      </c>
      <c r="H117" s="6">
        <v>37.58</v>
      </c>
      <c r="I117">
        <f t="shared" si="12"/>
        <v>46.4</v>
      </c>
      <c r="J117">
        <f t="shared" si="13"/>
        <v>59</v>
      </c>
      <c r="K117">
        <f t="shared" si="14"/>
        <v>13.39</v>
      </c>
      <c r="L117" s="6">
        <v>186</v>
      </c>
    </row>
    <row r="118" spans="1:12" ht="15.75" customHeight="1" x14ac:dyDescent="0.25">
      <c r="A118" s="4">
        <v>107</v>
      </c>
      <c r="B118" s="5">
        <f t="shared" si="8"/>
        <v>45102</v>
      </c>
      <c r="C118" s="6">
        <v>8</v>
      </c>
      <c r="D118" s="6">
        <v>11</v>
      </c>
      <c r="E118" s="6">
        <v>29.7</v>
      </c>
      <c r="F118" s="7">
        <v>16.119999999999997</v>
      </c>
      <c r="G118" s="6">
        <v>86</v>
      </c>
      <c r="H118" s="6">
        <v>8</v>
      </c>
      <c r="I118">
        <f t="shared" si="12"/>
        <v>11</v>
      </c>
      <c r="J118">
        <f t="shared" si="13"/>
        <v>29.7</v>
      </c>
      <c r="K118">
        <f t="shared" si="14"/>
        <v>16.119999999999997</v>
      </c>
      <c r="L118" s="6">
        <v>169</v>
      </c>
    </row>
    <row r="119" spans="1:12" ht="15.75" customHeight="1" x14ac:dyDescent="0.25">
      <c r="A119" s="4">
        <v>108</v>
      </c>
      <c r="B119" s="5">
        <f t="shared" si="8"/>
        <v>45103</v>
      </c>
      <c r="C119" s="6">
        <v>27.080000000000002</v>
      </c>
      <c r="D119" s="6">
        <v>0.3</v>
      </c>
      <c r="E119" s="6">
        <v>23.2</v>
      </c>
      <c r="F119" s="7">
        <v>19.910000000000004</v>
      </c>
      <c r="G119" s="6">
        <v>104</v>
      </c>
      <c r="H119" s="6">
        <v>27.080000000000002</v>
      </c>
      <c r="I119">
        <f t="shared" si="12"/>
        <v>0.3</v>
      </c>
      <c r="J119">
        <f t="shared" si="13"/>
        <v>23.2</v>
      </c>
      <c r="K119">
        <f t="shared" si="14"/>
        <v>19.910000000000004</v>
      </c>
      <c r="L119" s="6">
        <v>175</v>
      </c>
    </row>
    <row r="120" spans="1:12" ht="15.75" customHeight="1" x14ac:dyDescent="0.25">
      <c r="A120" s="4">
        <v>109</v>
      </c>
      <c r="B120" s="5">
        <f t="shared" si="8"/>
        <v>45104</v>
      </c>
      <c r="C120" s="6">
        <v>9.620000000000001</v>
      </c>
      <c r="D120" s="6">
        <v>0.4</v>
      </c>
      <c r="E120" s="6">
        <v>25.6</v>
      </c>
      <c r="F120" s="7">
        <v>11.269999999999998</v>
      </c>
      <c r="G120" s="6">
        <v>54</v>
      </c>
      <c r="H120" s="6">
        <v>9.620000000000001</v>
      </c>
      <c r="I120">
        <f t="shared" si="12"/>
        <v>0.4</v>
      </c>
      <c r="J120">
        <f t="shared" si="13"/>
        <v>25.6</v>
      </c>
      <c r="K120">
        <f t="shared" si="14"/>
        <v>11.269999999999998</v>
      </c>
      <c r="L120" s="6">
        <v>240</v>
      </c>
    </row>
    <row r="121" spans="1:12" ht="15.75" customHeight="1" x14ac:dyDescent="0.25">
      <c r="A121" s="4">
        <v>110</v>
      </c>
      <c r="B121" s="5">
        <f t="shared" si="8"/>
        <v>45105</v>
      </c>
      <c r="C121" s="6">
        <v>53.08</v>
      </c>
      <c r="D121" s="6">
        <v>26.9</v>
      </c>
      <c r="E121" s="6">
        <v>5.5</v>
      </c>
      <c r="F121" s="7">
        <v>36.789999999999992</v>
      </c>
      <c r="G121" s="6"/>
      <c r="H121" s="6">
        <v>53.08</v>
      </c>
      <c r="I121">
        <f t="shared" si="12"/>
        <v>26.9</v>
      </c>
      <c r="J121">
        <f t="shared" si="13"/>
        <v>5.5</v>
      </c>
      <c r="K121">
        <f t="shared" si="14"/>
        <v>36.789999999999992</v>
      </c>
      <c r="L121" s="6">
        <v>119</v>
      </c>
    </row>
    <row r="122" spans="1:12" ht="15.75" customHeight="1" x14ac:dyDescent="0.25">
      <c r="A122" s="4">
        <v>111</v>
      </c>
      <c r="B122" s="5">
        <f t="shared" si="8"/>
        <v>45106</v>
      </c>
      <c r="C122" s="6">
        <v>54.160000000000004</v>
      </c>
      <c r="D122" s="6">
        <v>8.1999999999999993</v>
      </c>
      <c r="E122" s="6">
        <v>56.5</v>
      </c>
      <c r="F122" s="7">
        <v>4.0799999999999983</v>
      </c>
      <c r="G122" s="6">
        <v>150</v>
      </c>
      <c r="H122" s="6">
        <v>54.160000000000004</v>
      </c>
      <c r="I122">
        <f t="shared" si="12"/>
        <v>8.1999999999999993</v>
      </c>
      <c r="J122">
        <f t="shared" si="13"/>
        <v>56.5</v>
      </c>
      <c r="K122">
        <f t="shared" si="14"/>
        <v>4.0799999999999983</v>
      </c>
      <c r="L122" s="6">
        <v>135</v>
      </c>
    </row>
    <row r="123" spans="1:12" ht="15.75" customHeight="1" x14ac:dyDescent="0.25">
      <c r="A123" s="4">
        <v>112</v>
      </c>
      <c r="B123" s="5">
        <f t="shared" si="8"/>
        <v>45107</v>
      </c>
      <c r="C123" s="6">
        <v>55.339999999999996</v>
      </c>
      <c r="D123" s="6">
        <v>38</v>
      </c>
      <c r="E123" s="6">
        <v>23.2</v>
      </c>
      <c r="F123" s="7">
        <v>33.89</v>
      </c>
      <c r="G123" s="6">
        <v>221</v>
      </c>
      <c r="H123" s="6">
        <v>55.339999999999996</v>
      </c>
      <c r="I123">
        <f t="shared" si="12"/>
        <v>38</v>
      </c>
      <c r="J123">
        <f t="shared" si="13"/>
        <v>23.2</v>
      </c>
      <c r="K123">
        <f t="shared" si="14"/>
        <v>33.89</v>
      </c>
      <c r="L123" s="6">
        <v>186</v>
      </c>
    </row>
    <row r="124" spans="1:12" ht="15.75" customHeight="1" x14ac:dyDescent="0.25">
      <c r="A124" s="4">
        <v>113</v>
      </c>
      <c r="B124" s="5">
        <f t="shared" si="8"/>
        <v>45108</v>
      </c>
      <c r="C124" s="6">
        <v>39.14</v>
      </c>
      <c r="D124" s="6">
        <v>15.4</v>
      </c>
      <c r="E124" s="6">
        <v>2.4</v>
      </c>
      <c r="F124" s="7">
        <v>24.31</v>
      </c>
      <c r="G124" s="6">
        <v>159</v>
      </c>
      <c r="H124" s="6">
        <v>39.14</v>
      </c>
      <c r="I124">
        <f t="shared" si="12"/>
        <v>15.4</v>
      </c>
      <c r="J124">
        <f t="shared" si="13"/>
        <v>2.4</v>
      </c>
      <c r="K124">
        <f t="shared" si="14"/>
        <v>24.31</v>
      </c>
      <c r="L124" s="6">
        <v>204</v>
      </c>
    </row>
    <row r="125" spans="1:12" ht="15.75" customHeight="1" x14ac:dyDescent="0.25">
      <c r="A125" s="4">
        <v>114</v>
      </c>
      <c r="B125" s="5">
        <f t="shared" si="8"/>
        <v>45109</v>
      </c>
      <c r="C125" s="6">
        <v>44.92</v>
      </c>
      <c r="D125" s="6">
        <v>20.6</v>
      </c>
      <c r="E125" s="6">
        <v>10.7</v>
      </c>
      <c r="F125" s="7">
        <v>26.98</v>
      </c>
      <c r="G125" s="6">
        <v>167</v>
      </c>
      <c r="H125" s="6">
        <v>44.92</v>
      </c>
      <c r="I125">
        <f t="shared" si="12"/>
        <v>20.6</v>
      </c>
      <c r="J125">
        <f t="shared" si="13"/>
        <v>10.7</v>
      </c>
      <c r="K125">
        <f t="shared" si="14"/>
        <v>26.98</v>
      </c>
      <c r="L125" s="6">
        <v>225</v>
      </c>
    </row>
    <row r="126" spans="1:12" ht="15.75" customHeight="1" x14ac:dyDescent="0.25">
      <c r="A126" s="4">
        <v>115</v>
      </c>
      <c r="B126" s="5">
        <f t="shared" si="8"/>
        <v>45110</v>
      </c>
      <c r="C126" s="6">
        <v>18.64</v>
      </c>
      <c r="D126" s="6">
        <v>46.8</v>
      </c>
      <c r="E126" s="6">
        <v>34.5</v>
      </c>
      <c r="F126" s="7">
        <v>17.419999999999998</v>
      </c>
      <c r="G126" s="6">
        <v>152</v>
      </c>
      <c r="H126" s="6">
        <v>18.64</v>
      </c>
      <c r="I126">
        <f t="shared" si="12"/>
        <v>46.8</v>
      </c>
      <c r="J126">
        <f t="shared" si="13"/>
        <v>34.5</v>
      </c>
      <c r="K126">
        <f t="shared" si="14"/>
        <v>17.419999999999998</v>
      </c>
      <c r="L126" s="6">
        <v>168</v>
      </c>
    </row>
    <row r="127" spans="1:12" ht="15.75" customHeight="1" x14ac:dyDescent="0.25">
      <c r="A127" s="4">
        <v>116</v>
      </c>
      <c r="B127" s="5">
        <f t="shared" si="8"/>
        <v>45111</v>
      </c>
      <c r="C127" s="6">
        <v>24.02</v>
      </c>
      <c r="D127" s="6">
        <v>35</v>
      </c>
      <c r="E127" s="6">
        <v>52.7</v>
      </c>
      <c r="F127" s="7">
        <v>3.9299999999999962</v>
      </c>
      <c r="G127" s="6">
        <v>133</v>
      </c>
      <c r="H127" s="6">
        <v>24.02</v>
      </c>
      <c r="I127">
        <f t="shared" si="12"/>
        <v>35</v>
      </c>
      <c r="J127">
        <f t="shared" si="13"/>
        <v>52.7</v>
      </c>
      <c r="K127">
        <f t="shared" si="14"/>
        <v>3.9299999999999962</v>
      </c>
      <c r="L127" s="6">
        <v>165</v>
      </c>
    </row>
    <row r="128" spans="1:12" ht="15.75" customHeight="1" x14ac:dyDescent="0.25">
      <c r="A128" s="4">
        <v>117</v>
      </c>
      <c r="B128" s="5">
        <f t="shared" si="8"/>
        <v>45112</v>
      </c>
      <c r="C128" s="6">
        <v>37.839999999999996</v>
      </c>
      <c r="D128" s="6">
        <v>14.3</v>
      </c>
      <c r="E128" s="6">
        <v>25.6</v>
      </c>
      <c r="F128" s="7">
        <v>10.829999999999998</v>
      </c>
      <c r="G128" s="6">
        <v>129</v>
      </c>
      <c r="H128" s="6">
        <v>37.839999999999996</v>
      </c>
      <c r="I128">
        <f t="shared" si="12"/>
        <v>14.3</v>
      </c>
      <c r="J128">
        <f t="shared" si="13"/>
        <v>25.6</v>
      </c>
      <c r="K128">
        <f t="shared" si="14"/>
        <v>10.829999999999998</v>
      </c>
      <c r="L128" s="6">
        <v>240</v>
      </c>
    </row>
    <row r="129" spans="1:12" ht="15.75" customHeight="1" x14ac:dyDescent="0.25">
      <c r="A129" s="4">
        <v>118</v>
      </c>
      <c r="B129" s="5">
        <f t="shared" si="8"/>
        <v>45113</v>
      </c>
      <c r="C129" s="6">
        <v>25.28</v>
      </c>
      <c r="D129" s="6">
        <v>0.8</v>
      </c>
      <c r="E129" s="6">
        <v>14.8</v>
      </c>
      <c r="F129" s="7">
        <v>2.12</v>
      </c>
      <c r="G129" s="6">
        <v>108</v>
      </c>
      <c r="H129" s="6">
        <v>25.28</v>
      </c>
      <c r="I129">
        <f t="shared" si="12"/>
        <v>0.8</v>
      </c>
      <c r="J129">
        <f t="shared" si="13"/>
        <v>14.8</v>
      </c>
      <c r="K129">
        <f t="shared" si="14"/>
        <v>2.12</v>
      </c>
      <c r="L129" s="6">
        <v>159</v>
      </c>
    </row>
    <row r="130" spans="1:12" ht="15.75" customHeight="1" x14ac:dyDescent="0.25">
      <c r="A130" s="4">
        <v>119</v>
      </c>
      <c r="B130" s="5">
        <f t="shared" si="8"/>
        <v>45114</v>
      </c>
      <c r="C130" s="6">
        <v>29.14</v>
      </c>
      <c r="D130" s="6">
        <v>36.9</v>
      </c>
      <c r="E130" s="6">
        <v>79.2</v>
      </c>
      <c r="F130" s="7">
        <v>19.339999999999996</v>
      </c>
      <c r="G130" s="6">
        <v>172</v>
      </c>
      <c r="H130" s="6">
        <v>29.14</v>
      </c>
      <c r="I130">
        <f t="shared" si="12"/>
        <v>36.9</v>
      </c>
      <c r="J130">
        <f t="shared" si="13"/>
        <v>79.2</v>
      </c>
      <c r="K130">
        <f t="shared" si="14"/>
        <v>19.339999999999996</v>
      </c>
      <c r="L130" s="6">
        <v>168</v>
      </c>
    </row>
    <row r="131" spans="1:12" ht="15.75" customHeight="1" x14ac:dyDescent="0.25">
      <c r="A131" s="4">
        <v>120</v>
      </c>
      <c r="B131" s="5">
        <f t="shared" si="8"/>
        <v>45115</v>
      </c>
      <c r="C131" s="6">
        <v>9.879999999999999</v>
      </c>
      <c r="D131" s="6">
        <v>16</v>
      </c>
      <c r="E131" s="6">
        <v>22.3</v>
      </c>
      <c r="F131" s="7">
        <v>1.0199999999999996</v>
      </c>
      <c r="G131" s="6">
        <v>77</v>
      </c>
      <c r="H131" s="6">
        <v>9.879999999999999</v>
      </c>
      <c r="I131">
        <f t="shared" si="12"/>
        <v>16</v>
      </c>
      <c r="J131">
        <f t="shared" si="13"/>
        <v>22.3</v>
      </c>
      <c r="K131">
        <f t="shared" si="14"/>
        <v>1.0199999999999996</v>
      </c>
      <c r="L131" s="6">
        <v>163</v>
      </c>
    </row>
    <row r="132" spans="1:12" ht="15.75" customHeight="1" x14ac:dyDescent="0.25">
      <c r="A132" s="4">
        <v>121</v>
      </c>
      <c r="B132" s="5">
        <f t="shared" si="8"/>
        <v>45116</v>
      </c>
      <c r="C132" s="6">
        <v>36.260000000000005</v>
      </c>
      <c r="D132" s="6">
        <v>26.8</v>
      </c>
      <c r="E132" s="6">
        <v>46.2</v>
      </c>
      <c r="F132" s="7">
        <v>9.0500000000000007</v>
      </c>
      <c r="G132" s="6">
        <v>163</v>
      </c>
      <c r="H132" s="6">
        <v>36.260000000000005</v>
      </c>
      <c r="I132">
        <f t="shared" si="12"/>
        <v>26.8</v>
      </c>
      <c r="J132">
        <f t="shared" si="13"/>
        <v>46.2</v>
      </c>
      <c r="K132">
        <f t="shared" si="14"/>
        <v>9.0500000000000007</v>
      </c>
      <c r="L132" s="6">
        <v>166</v>
      </c>
    </row>
    <row r="133" spans="1:12" ht="15.75" customHeight="1" x14ac:dyDescent="0.25">
      <c r="A133" s="4">
        <v>122</v>
      </c>
      <c r="B133" s="5">
        <f t="shared" si="8"/>
        <v>45117</v>
      </c>
      <c r="C133" s="6">
        <v>7.76</v>
      </c>
      <c r="D133" s="6">
        <v>21.7</v>
      </c>
      <c r="E133" s="6">
        <v>50.4</v>
      </c>
      <c r="F133" s="7">
        <v>12.57</v>
      </c>
      <c r="G133" s="6">
        <v>81</v>
      </c>
      <c r="H133" s="6">
        <v>7.76</v>
      </c>
      <c r="I133">
        <f t="shared" si="12"/>
        <v>21.7</v>
      </c>
      <c r="J133">
        <f t="shared" si="13"/>
        <v>50.4</v>
      </c>
      <c r="K133">
        <f t="shared" si="14"/>
        <v>12.57</v>
      </c>
      <c r="L133" s="6">
        <v>122</v>
      </c>
    </row>
    <row r="134" spans="1:12" ht="15.75" customHeight="1" x14ac:dyDescent="0.25">
      <c r="A134" s="4">
        <v>123</v>
      </c>
      <c r="B134" s="5">
        <f t="shared" si="8"/>
        <v>45118</v>
      </c>
      <c r="C134" s="6">
        <v>45.8</v>
      </c>
      <c r="D134" s="6">
        <v>2.4</v>
      </c>
      <c r="E134" s="6">
        <v>15.6</v>
      </c>
      <c r="F134" s="7">
        <v>17.36</v>
      </c>
      <c r="G134" s="6">
        <v>125</v>
      </c>
      <c r="H134" s="6">
        <v>45.8</v>
      </c>
      <c r="I134">
        <f t="shared" si="12"/>
        <v>2.4</v>
      </c>
      <c r="J134">
        <f t="shared" si="13"/>
        <v>15.6</v>
      </c>
      <c r="K134">
        <f t="shared" si="14"/>
        <v>17.36</v>
      </c>
      <c r="L134" s="6">
        <v>235</v>
      </c>
    </row>
    <row r="135" spans="1:12" ht="15.75" customHeight="1" x14ac:dyDescent="0.25">
      <c r="A135" s="4">
        <v>124</v>
      </c>
      <c r="B135" s="5">
        <f t="shared" si="8"/>
        <v>45119</v>
      </c>
      <c r="C135" s="6">
        <v>33.619999999999997</v>
      </c>
      <c r="D135" s="6">
        <v>34.6</v>
      </c>
      <c r="E135" s="6">
        <v>12.4</v>
      </c>
      <c r="F135" s="7">
        <v>24.65</v>
      </c>
      <c r="G135" s="6">
        <v>171</v>
      </c>
      <c r="H135" s="6">
        <v>33.619999999999997</v>
      </c>
      <c r="I135">
        <f t="shared" si="12"/>
        <v>34.6</v>
      </c>
      <c r="J135">
        <f t="shared" si="13"/>
        <v>12.4</v>
      </c>
      <c r="K135">
        <f t="shared" si="14"/>
        <v>24.65</v>
      </c>
      <c r="L135" s="6">
        <v>139</v>
      </c>
    </row>
    <row r="136" spans="1:12" ht="15.75" customHeight="1" x14ac:dyDescent="0.25">
      <c r="A136" s="4">
        <v>125</v>
      </c>
      <c r="B136" s="5">
        <f t="shared" si="8"/>
        <v>45120</v>
      </c>
      <c r="C136" s="6">
        <v>51.9</v>
      </c>
      <c r="D136" s="6">
        <v>32.299999999999997</v>
      </c>
      <c r="E136" s="6">
        <v>74.2</v>
      </c>
      <c r="F136" s="7">
        <v>9.419999999999991</v>
      </c>
      <c r="G136" s="6">
        <v>201</v>
      </c>
      <c r="H136" s="6">
        <v>51.9</v>
      </c>
      <c r="I136">
        <f t="shared" si="12"/>
        <v>32.299999999999997</v>
      </c>
      <c r="J136">
        <f t="shared" si="13"/>
        <v>74.2</v>
      </c>
      <c r="K136">
        <f t="shared" si="14"/>
        <v>9.419999999999991</v>
      </c>
      <c r="L136" s="6">
        <v>159</v>
      </c>
    </row>
    <row r="137" spans="1:12" ht="15.75" customHeight="1" x14ac:dyDescent="0.25">
      <c r="A137" s="4">
        <v>126</v>
      </c>
      <c r="B137" s="5">
        <f t="shared" si="8"/>
        <v>45121</v>
      </c>
      <c r="C137" s="6">
        <v>18.440000000000001</v>
      </c>
      <c r="D137" s="6">
        <v>11.8</v>
      </c>
      <c r="E137" s="6">
        <v>25.9</v>
      </c>
      <c r="F137" s="7">
        <v>4.2600000000000016</v>
      </c>
      <c r="G137" s="6">
        <v>126</v>
      </c>
      <c r="H137" s="6">
        <v>18.440000000000001</v>
      </c>
      <c r="I137">
        <f t="shared" si="12"/>
        <v>11.8</v>
      </c>
      <c r="J137">
        <f t="shared" si="13"/>
        <v>25.9</v>
      </c>
      <c r="K137">
        <f t="shared" si="14"/>
        <v>4.2600000000000016</v>
      </c>
      <c r="L137" s="6">
        <v>191</v>
      </c>
    </row>
    <row r="138" spans="1:12" ht="15.75" customHeight="1" x14ac:dyDescent="0.25">
      <c r="A138" s="4">
        <v>127</v>
      </c>
      <c r="B138" s="5">
        <f t="shared" si="8"/>
        <v>45122</v>
      </c>
      <c r="C138" s="6">
        <v>8.56</v>
      </c>
      <c r="D138" s="6">
        <v>38.9</v>
      </c>
      <c r="E138" s="6">
        <v>50.6</v>
      </c>
      <c r="F138" s="7">
        <v>19.989999999999998</v>
      </c>
      <c r="G138" s="6">
        <v>78</v>
      </c>
      <c r="H138" s="6">
        <v>8.56</v>
      </c>
      <c r="I138">
        <f t="shared" si="12"/>
        <v>38.9</v>
      </c>
      <c r="J138">
        <f t="shared" si="13"/>
        <v>50.6</v>
      </c>
      <c r="K138">
        <f t="shared" si="14"/>
        <v>19.989999999999998</v>
      </c>
      <c r="L138" s="6">
        <v>196</v>
      </c>
    </row>
    <row r="139" spans="1:12" ht="15.75" customHeight="1" x14ac:dyDescent="0.25">
      <c r="A139" s="4">
        <v>128</v>
      </c>
      <c r="B139" s="5">
        <f t="shared" si="8"/>
        <v>45123</v>
      </c>
      <c r="C139" s="6">
        <v>71.06</v>
      </c>
      <c r="D139" s="6"/>
      <c r="E139" s="6">
        <v>9.1999999999999993</v>
      </c>
      <c r="F139" s="7">
        <v>31.35</v>
      </c>
      <c r="G139" s="6">
        <v>92</v>
      </c>
      <c r="H139" s="6">
        <v>71.06</v>
      </c>
      <c r="I139">
        <f t="shared" si="12"/>
        <v>23.6</v>
      </c>
      <c r="J139">
        <f t="shared" si="13"/>
        <v>9.1999999999999993</v>
      </c>
      <c r="K139">
        <f t="shared" si="14"/>
        <v>31.35</v>
      </c>
      <c r="L139" s="6">
        <v>167</v>
      </c>
    </row>
    <row r="140" spans="1:12" ht="15.75" customHeight="1" x14ac:dyDescent="0.25">
      <c r="A140" s="4">
        <v>129</v>
      </c>
      <c r="B140" s="5">
        <f t="shared" si="8"/>
        <v>45124</v>
      </c>
      <c r="C140" s="6">
        <v>54.06</v>
      </c>
      <c r="D140" s="6">
        <v>49</v>
      </c>
      <c r="E140" s="6">
        <v>3.2</v>
      </c>
      <c r="F140" s="7">
        <v>45.25</v>
      </c>
      <c r="G140" s="6">
        <v>264</v>
      </c>
      <c r="H140" s="6">
        <v>54.06</v>
      </c>
      <c r="I140">
        <f t="shared" si="12"/>
        <v>49</v>
      </c>
      <c r="J140">
        <f t="shared" si="13"/>
        <v>3.2</v>
      </c>
      <c r="K140">
        <f t="shared" si="14"/>
        <v>45.25</v>
      </c>
      <c r="L140" s="6">
        <v>185</v>
      </c>
    </row>
    <row r="141" spans="1:12" ht="15.75" customHeight="1" x14ac:dyDescent="0.25">
      <c r="A141" s="4">
        <v>130</v>
      </c>
      <c r="B141" s="5">
        <f t="shared" si="8"/>
        <v>45125</v>
      </c>
      <c r="C141" s="6">
        <v>18.920000000000002</v>
      </c>
      <c r="D141" s="6">
        <v>12</v>
      </c>
      <c r="E141" s="6">
        <v>43.1</v>
      </c>
      <c r="F141" s="7">
        <v>14.719999999999999</v>
      </c>
      <c r="G141" s="6">
        <v>116</v>
      </c>
      <c r="H141" s="6">
        <v>18.920000000000002</v>
      </c>
      <c r="I141">
        <f t="shared" ref="I141:I204" si="15">IF(ISBLANK(D141),$D$8,D141)</f>
        <v>12</v>
      </c>
      <c r="J141">
        <f t="shared" ref="J141:J204" si="16">IF(ISBLANK(E141),$E$8,E141)</f>
        <v>43.1</v>
      </c>
      <c r="K141">
        <f t="shared" ref="K141:K204" si="17">IF(ISBLANK(F141),$F$8,F141)</f>
        <v>14.719999999999999</v>
      </c>
      <c r="L141" s="6">
        <v>179</v>
      </c>
    </row>
    <row r="142" spans="1:12" ht="15.75" customHeight="1" x14ac:dyDescent="0.25">
      <c r="A142" s="4">
        <v>131</v>
      </c>
      <c r="B142" s="5">
        <f t="shared" si="8"/>
        <v>45126</v>
      </c>
      <c r="C142" s="6">
        <v>6</v>
      </c>
      <c r="D142" s="6">
        <v>39.6</v>
      </c>
      <c r="E142" s="6">
        <v>8.6999999999999993</v>
      </c>
      <c r="F142" s="7">
        <v>111</v>
      </c>
      <c r="G142" s="6">
        <v>28</v>
      </c>
      <c r="H142" s="6">
        <v>6</v>
      </c>
      <c r="I142">
        <f t="shared" si="15"/>
        <v>39.6</v>
      </c>
      <c r="J142">
        <f t="shared" si="16"/>
        <v>8.6999999999999993</v>
      </c>
      <c r="K142">
        <f t="shared" si="17"/>
        <v>111</v>
      </c>
      <c r="L142" s="6">
        <v>223</v>
      </c>
    </row>
    <row r="143" spans="1:12" ht="15.75" customHeight="1" x14ac:dyDescent="0.25">
      <c r="A143" s="4">
        <v>132</v>
      </c>
      <c r="B143" s="5">
        <f t="shared" si="8"/>
        <v>45127</v>
      </c>
      <c r="C143" s="6">
        <v>55.04</v>
      </c>
      <c r="D143" s="6">
        <v>2.9</v>
      </c>
      <c r="E143" s="6">
        <v>43</v>
      </c>
      <c r="F143" s="7">
        <v>10.77</v>
      </c>
      <c r="G143" s="6">
        <v>147</v>
      </c>
      <c r="H143" s="6">
        <v>55.04</v>
      </c>
      <c r="I143">
        <f t="shared" si="15"/>
        <v>2.9</v>
      </c>
      <c r="J143">
        <f t="shared" si="16"/>
        <v>43</v>
      </c>
      <c r="K143">
        <f t="shared" si="17"/>
        <v>10.77</v>
      </c>
      <c r="L143" s="6">
        <v>125</v>
      </c>
    </row>
    <row r="144" spans="1:12" ht="15.75" customHeight="1" x14ac:dyDescent="0.25">
      <c r="A144" s="4">
        <v>133</v>
      </c>
      <c r="B144" s="5">
        <f t="shared" si="8"/>
        <v>45128</v>
      </c>
      <c r="C144" s="6">
        <v>5.68</v>
      </c>
      <c r="D144" s="6">
        <v>27.2</v>
      </c>
      <c r="E144" s="6">
        <v>2.1</v>
      </c>
      <c r="F144" s="7">
        <v>13.6</v>
      </c>
      <c r="G144" s="6">
        <v>71</v>
      </c>
      <c r="H144" s="6">
        <v>5.68</v>
      </c>
      <c r="I144">
        <f t="shared" si="15"/>
        <v>27.2</v>
      </c>
      <c r="J144">
        <f t="shared" si="16"/>
        <v>2.1</v>
      </c>
      <c r="K144">
        <f t="shared" si="17"/>
        <v>13.6</v>
      </c>
      <c r="L144" s="6">
        <v>174</v>
      </c>
    </row>
    <row r="145" spans="1:12" ht="15.75" customHeight="1" x14ac:dyDescent="0.25">
      <c r="A145" s="4">
        <v>134</v>
      </c>
      <c r="B145" s="5">
        <f t="shared" si="8"/>
        <v>45129</v>
      </c>
      <c r="C145" s="6">
        <v>45.96</v>
      </c>
      <c r="D145" s="6">
        <v>33.5</v>
      </c>
      <c r="E145" s="6">
        <v>45.1</v>
      </c>
      <c r="F145" s="7">
        <v>20.69</v>
      </c>
      <c r="G145" s="6"/>
      <c r="H145" s="6">
        <v>45.96</v>
      </c>
      <c r="I145">
        <f t="shared" si="15"/>
        <v>33.5</v>
      </c>
      <c r="J145">
        <f t="shared" si="16"/>
        <v>45.1</v>
      </c>
      <c r="K145">
        <f t="shared" si="17"/>
        <v>20.69</v>
      </c>
      <c r="L145" s="6">
        <v>228</v>
      </c>
    </row>
    <row r="146" spans="1:12" ht="15.75" customHeight="1" x14ac:dyDescent="0.25">
      <c r="A146" s="4">
        <v>135</v>
      </c>
      <c r="B146" s="5">
        <f t="shared" si="8"/>
        <v>45130</v>
      </c>
      <c r="C146" s="6">
        <v>14.379999999999999</v>
      </c>
      <c r="D146" s="6">
        <v>38.6</v>
      </c>
      <c r="E146" s="6">
        <v>65.599999999999994</v>
      </c>
      <c r="F146" s="7">
        <v>16.750000000000004</v>
      </c>
      <c r="G146" s="6">
        <v>124</v>
      </c>
      <c r="H146" s="6">
        <v>14.379999999999999</v>
      </c>
      <c r="I146">
        <f t="shared" si="15"/>
        <v>38.6</v>
      </c>
      <c r="J146">
        <f t="shared" si="16"/>
        <v>65.599999999999994</v>
      </c>
      <c r="K146">
        <f t="shared" si="17"/>
        <v>16.750000000000004</v>
      </c>
      <c r="L146" s="6">
        <v>137</v>
      </c>
    </row>
    <row r="147" spans="1:12" ht="15.75" customHeight="1" x14ac:dyDescent="0.25">
      <c r="A147" s="4">
        <v>136</v>
      </c>
      <c r="B147" s="5">
        <f t="shared" si="8"/>
        <v>45131</v>
      </c>
      <c r="C147" s="6">
        <v>14.66</v>
      </c>
      <c r="D147" s="6">
        <v>47</v>
      </c>
      <c r="E147" s="6">
        <v>8.5</v>
      </c>
      <c r="F147" s="7">
        <v>24.93</v>
      </c>
      <c r="G147" s="6">
        <v>124</v>
      </c>
      <c r="H147" s="6">
        <v>14.66</v>
      </c>
      <c r="I147">
        <f t="shared" si="15"/>
        <v>47</v>
      </c>
      <c r="J147">
        <f t="shared" si="16"/>
        <v>8.5</v>
      </c>
      <c r="K147">
        <f t="shared" si="17"/>
        <v>24.93</v>
      </c>
      <c r="L147" s="6">
        <v>149</v>
      </c>
    </row>
    <row r="148" spans="1:12" ht="15.75" customHeight="1" x14ac:dyDescent="0.25">
      <c r="A148" s="4">
        <v>137</v>
      </c>
      <c r="B148" s="5">
        <f t="shared" si="8"/>
        <v>45132</v>
      </c>
      <c r="C148" s="6">
        <v>10.120000000000001</v>
      </c>
      <c r="D148" s="6">
        <v>39</v>
      </c>
      <c r="E148" s="6">
        <v>9.3000000000000007</v>
      </c>
      <c r="F148" s="7">
        <v>18.339999999999996</v>
      </c>
      <c r="G148" s="6">
        <v>98</v>
      </c>
      <c r="H148" s="6">
        <v>10.120000000000001</v>
      </c>
      <c r="I148">
        <f t="shared" si="15"/>
        <v>39</v>
      </c>
      <c r="J148">
        <f t="shared" si="16"/>
        <v>9.3000000000000007</v>
      </c>
      <c r="K148">
        <f t="shared" si="17"/>
        <v>18.339999999999996</v>
      </c>
      <c r="L148" s="6">
        <v>132</v>
      </c>
    </row>
    <row r="149" spans="1:12" ht="15.75" customHeight="1" x14ac:dyDescent="0.25">
      <c r="A149" s="4">
        <v>138</v>
      </c>
      <c r="B149" s="5">
        <f t="shared" si="8"/>
        <v>45133</v>
      </c>
      <c r="C149" s="6">
        <v>58.739999999999995</v>
      </c>
      <c r="D149" s="6">
        <v>28.9</v>
      </c>
      <c r="E149" s="6">
        <v>59.7</v>
      </c>
      <c r="F149" s="7">
        <v>17.939999999999991</v>
      </c>
      <c r="G149" s="6">
        <v>210</v>
      </c>
      <c r="H149" s="6">
        <v>58.739999999999995</v>
      </c>
      <c r="I149">
        <f t="shared" si="15"/>
        <v>28.9</v>
      </c>
      <c r="J149">
        <f t="shared" si="16"/>
        <v>59.7</v>
      </c>
      <c r="K149">
        <f t="shared" si="17"/>
        <v>17.939999999999991</v>
      </c>
      <c r="L149" s="6">
        <v>188</v>
      </c>
    </row>
    <row r="150" spans="1:12" ht="15.75" customHeight="1" x14ac:dyDescent="0.25">
      <c r="A150" s="4">
        <v>139</v>
      </c>
      <c r="B150" s="5">
        <f t="shared" si="8"/>
        <v>45134</v>
      </c>
      <c r="C150" s="6">
        <v>9.6</v>
      </c>
      <c r="D150" s="6">
        <v>25.9</v>
      </c>
      <c r="E150" s="6">
        <v>20.5</v>
      </c>
      <c r="F150" s="7">
        <v>9.0499999999999989</v>
      </c>
      <c r="G150" s="6">
        <v>109</v>
      </c>
      <c r="H150" s="6">
        <v>9.6</v>
      </c>
      <c r="I150">
        <f t="shared" si="15"/>
        <v>25.9</v>
      </c>
      <c r="J150">
        <f t="shared" si="16"/>
        <v>20.5</v>
      </c>
      <c r="K150">
        <f t="shared" si="17"/>
        <v>9.0499999999999989</v>
      </c>
      <c r="L150" s="6">
        <v>811</v>
      </c>
    </row>
    <row r="151" spans="1:12" ht="15.75" customHeight="1" x14ac:dyDescent="0.25">
      <c r="A151" s="4">
        <v>140</v>
      </c>
      <c r="B151" s="5">
        <f t="shared" si="8"/>
        <v>45135</v>
      </c>
      <c r="C151" s="6">
        <v>196.98</v>
      </c>
      <c r="D151" s="6">
        <v>43.9</v>
      </c>
      <c r="E151" s="6">
        <v>1.7</v>
      </c>
      <c r="F151" s="7">
        <v>39.76</v>
      </c>
      <c r="G151" s="6">
        <v>227</v>
      </c>
      <c r="H151" s="6">
        <v>196.98</v>
      </c>
      <c r="I151">
        <f t="shared" si="15"/>
        <v>43.9</v>
      </c>
      <c r="J151">
        <f t="shared" si="16"/>
        <v>1.7</v>
      </c>
      <c r="K151">
        <f t="shared" si="17"/>
        <v>39.76</v>
      </c>
      <c r="L151" s="6">
        <v>129</v>
      </c>
    </row>
    <row r="152" spans="1:12" ht="15.75" customHeight="1" x14ac:dyDescent="0.25">
      <c r="A152" s="4">
        <v>141</v>
      </c>
      <c r="B152" s="5">
        <f t="shared" si="8"/>
        <v>45136</v>
      </c>
      <c r="C152" s="6"/>
      <c r="D152" s="6">
        <v>17</v>
      </c>
      <c r="E152" s="6">
        <v>12.9</v>
      </c>
      <c r="F152" s="7">
        <v>10.68</v>
      </c>
      <c r="G152" s="6">
        <v>113</v>
      </c>
      <c r="H152" s="6">
        <v>21</v>
      </c>
      <c r="I152">
        <f t="shared" si="15"/>
        <v>17</v>
      </c>
      <c r="J152">
        <f t="shared" si="16"/>
        <v>12.9</v>
      </c>
      <c r="K152">
        <f t="shared" si="17"/>
        <v>10.68</v>
      </c>
      <c r="L152" s="6">
        <v>229</v>
      </c>
    </row>
    <row r="153" spans="1:12" ht="15.75" customHeight="1" x14ac:dyDescent="0.25">
      <c r="A153" s="4">
        <v>142</v>
      </c>
      <c r="B153" s="5">
        <f t="shared" si="8"/>
        <v>45137</v>
      </c>
      <c r="C153" s="6"/>
      <c r="D153" s="6">
        <v>35.4</v>
      </c>
      <c r="E153" s="6">
        <v>75.599999999999994</v>
      </c>
      <c r="F153" s="7">
        <v>6.8299999999999947</v>
      </c>
      <c r="G153" s="6">
        <v>207</v>
      </c>
      <c r="H153" s="6">
        <v>49</v>
      </c>
      <c r="I153">
        <f t="shared" si="15"/>
        <v>35.4</v>
      </c>
      <c r="J153">
        <f t="shared" si="16"/>
        <v>75.599999999999994</v>
      </c>
      <c r="K153">
        <f t="shared" si="17"/>
        <v>6.8299999999999947</v>
      </c>
      <c r="L153" s="6">
        <v>127</v>
      </c>
    </row>
    <row r="154" spans="1:12" ht="15.75" customHeight="1" x14ac:dyDescent="0.25">
      <c r="A154" s="4">
        <v>143</v>
      </c>
      <c r="B154" s="5">
        <f t="shared" si="8"/>
        <v>45138</v>
      </c>
      <c r="C154" s="6">
        <v>50.1</v>
      </c>
      <c r="D154" s="6">
        <v>33.200000000000003</v>
      </c>
      <c r="E154" s="6">
        <v>37.9</v>
      </c>
      <c r="F154" s="7">
        <v>23.490000000000006</v>
      </c>
      <c r="G154" s="6">
        <v>218</v>
      </c>
      <c r="H154" s="6">
        <v>50.1</v>
      </c>
      <c r="I154">
        <f t="shared" si="15"/>
        <v>33.200000000000003</v>
      </c>
      <c r="J154">
        <f t="shared" si="16"/>
        <v>37.9</v>
      </c>
      <c r="K154">
        <f t="shared" si="17"/>
        <v>23.490000000000006</v>
      </c>
      <c r="L154" s="6">
        <v>207</v>
      </c>
    </row>
    <row r="155" spans="1:12" ht="15.75" customHeight="1" x14ac:dyDescent="0.25">
      <c r="A155" s="4">
        <v>144</v>
      </c>
      <c r="B155" s="5">
        <f t="shared" si="8"/>
        <v>45139</v>
      </c>
      <c r="C155" s="6">
        <v>28.919999999999998</v>
      </c>
      <c r="D155" s="6">
        <v>5.7</v>
      </c>
      <c r="E155" s="6">
        <v>34.4</v>
      </c>
      <c r="F155" s="7">
        <v>19.549999999999997</v>
      </c>
      <c r="G155" s="6"/>
      <c r="H155" s="6">
        <v>28.919999999999998</v>
      </c>
      <c r="I155">
        <f t="shared" si="15"/>
        <v>5.7</v>
      </c>
      <c r="J155">
        <f t="shared" si="16"/>
        <v>34.4</v>
      </c>
      <c r="K155">
        <f t="shared" si="17"/>
        <v>19.549999999999997</v>
      </c>
      <c r="L155" s="6">
        <v>168</v>
      </c>
    </row>
    <row r="156" spans="1:12" ht="15.75" customHeight="1" x14ac:dyDescent="0.25">
      <c r="A156" s="4">
        <v>145</v>
      </c>
      <c r="B156" s="5">
        <f t="shared" si="8"/>
        <v>45140</v>
      </c>
      <c r="C156" s="6">
        <v>29.240000000000002</v>
      </c>
      <c r="D156" s="6">
        <v>14.8</v>
      </c>
      <c r="E156" s="6">
        <v>38.9</v>
      </c>
      <c r="F156" s="7">
        <v>1.4600000000000026</v>
      </c>
      <c r="G156" s="6">
        <v>127</v>
      </c>
      <c r="H156" s="6">
        <v>29.240000000000002</v>
      </c>
      <c r="I156">
        <f t="shared" si="15"/>
        <v>14.8</v>
      </c>
      <c r="J156">
        <f t="shared" si="16"/>
        <v>38.9</v>
      </c>
      <c r="K156">
        <f t="shared" si="17"/>
        <v>1.4600000000000026</v>
      </c>
      <c r="L156" s="6">
        <v>239</v>
      </c>
    </row>
    <row r="157" spans="1:12" ht="15.75" customHeight="1" x14ac:dyDescent="0.25">
      <c r="A157" s="4">
        <v>146</v>
      </c>
      <c r="B157" s="5">
        <f t="shared" si="8"/>
        <v>45141</v>
      </c>
      <c r="C157" s="6">
        <v>31.060000000000002</v>
      </c>
      <c r="D157" s="6">
        <v>1.9</v>
      </c>
      <c r="E157" s="6">
        <v>9</v>
      </c>
      <c r="F157" s="7">
        <v>11.38</v>
      </c>
      <c r="G157" s="6">
        <v>123</v>
      </c>
      <c r="H157" s="6">
        <v>31.060000000000002</v>
      </c>
      <c r="I157">
        <f t="shared" si="15"/>
        <v>1.9</v>
      </c>
      <c r="J157">
        <f t="shared" si="16"/>
        <v>9</v>
      </c>
      <c r="K157">
        <f t="shared" si="17"/>
        <v>11.38</v>
      </c>
      <c r="L157" s="6">
        <v>175</v>
      </c>
    </row>
    <row r="158" spans="1:12" ht="15.75" customHeight="1" x14ac:dyDescent="0.25">
      <c r="A158" s="4">
        <v>147</v>
      </c>
      <c r="B158" s="5">
        <f t="shared" si="8"/>
        <v>45142</v>
      </c>
      <c r="C158" s="6">
        <v>55.019999999999996</v>
      </c>
      <c r="D158" s="6">
        <v>7.3</v>
      </c>
      <c r="E158" s="6">
        <v>8.6999999999999993</v>
      </c>
      <c r="F158" s="7">
        <v>24.179999999999996</v>
      </c>
      <c r="G158" s="6">
        <v>142</v>
      </c>
      <c r="H158" s="6">
        <v>55.019999999999996</v>
      </c>
      <c r="I158">
        <f t="shared" si="15"/>
        <v>7.3</v>
      </c>
      <c r="J158">
        <f t="shared" si="16"/>
        <v>8.6999999999999993</v>
      </c>
      <c r="K158">
        <f t="shared" si="17"/>
        <v>24.179999999999996</v>
      </c>
      <c r="L158" s="6">
        <v>218</v>
      </c>
    </row>
    <row r="159" spans="1:12" ht="15.75" customHeight="1" x14ac:dyDescent="0.25">
      <c r="A159" s="4">
        <v>148</v>
      </c>
      <c r="B159" s="5">
        <f t="shared" si="8"/>
        <v>45143</v>
      </c>
      <c r="C159" s="6">
        <v>50.64</v>
      </c>
      <c r="D159" s="6">
        <v>49</v>
      </c>
      <c r="E159" s="6">
        <v>44.3</v>
      </c>
      <c r="F159" s="7">
        <v>31.1</v>
      </c>
      <c r="G159" s="6">
        <v>265</v>
      </c>
      <c r="H159" s="6">
        <v>50.64</v>
      </c>
      <c r="I159">
        <f t="shared" si="15"/>
        <v>49</v>
      </c>
      <c r="J159">
        <f t="shared" si="16"/>
        <v>44.3</v>
      </c>
      <c r="K159">
        <f t="shared" si="17"/>
        <v>31.1</v>
      </c>
      <c r="L159" s="6">
        <v>186</v>
      </c>
    </row>
    <row r="160" spans="1:12" ht="15.75" customHeight="1" x14ac:dyDescent="0.25">
      <c r="A160" s="4">
        <v>149</v>
      </c>
      <c r="B160" s="5">
        <f t="shared" si="8"/>
        <v>45144</v>
      </c>
      <c r="C160" s="6">
        <v>15.6</v>
      </c>
      <c r="D160" s="6">
        <v>40.299999999999997</v>
      </c>
      <c r="E160" s="6">
        <v>11.9</v>
      </c>
      <c r="F160" s="7">
        <v>19.189999999999998</v>
      </c>
      <c r="G160" s="6">
        <v>110</v>
      </c>
      <c r="H160" s="6">
        <v>15.6</v>
      </c>
      <c r="I160">
        <f t="shared" si="15"/>
        <v>40.299999999999997</v>
      </c>
      <c r="J160">
        <f t="shared" si="16"/>
        <v>11.9</v>
      </c>
      <c r="K160">
        <f t="shared" si="17"/>
        <v>19.189999999999998</v>
      </c>
      <c r="L160" s="6">
        <v>265</v>
      </c>
    </row>
    <row r="161" spans="1:12" ht="15.75" customHeight="1" x14ac:dyDescent="0.25">
      <c r="A161" s="4">
        <v>150</v>
      </c>
      <c r="B161" s="5">
        <f t="shared" si="8"/>
        <v>45145</v>
      </c>
      <c r="C161" s="6">
        <v>164</v>
      </c>
      <c r="D161" s="6">
        <v>25.8</v>
      </c>
      <c r="E161" s="6">
        <v>20.6</v>
      </c>
      <c r="F161" s="7">
        <v>9.1300000000000008</v>
      </c>
      <c r="G161" s="6">
        <v>118</v>
      </c>
      <c r="H161" s="6">
        <v>164</v>
      </c>
      <c r="I161">
        <f t="shared" si="15"/>
        <v>25.8</v>
      </c>
      <c r="J161">
        <f t="shared" si="16"/>
        <v>20.6</v>
      </c>
      <c r="K161">
        <f t="shared" si="17"/>
        <v>9.1300000000000008</v>
      </c>
      <c r="L161" s="6">
        <v>187</v>
      </c>
    </row>
    <row r="162" spans="1:12" ht="15.75" customHeight="1" x14ac:dyDescent="0.25">
      <c r="A162" s="4">
        <v>151</v>
      </c>
      <c r="B162" s="5">
        <f t="shared" si="8"/>
        <v>45146</v>
      </c>
      <c r="C162" s="6">
        <v>66.14</v>
      </c>
      <c r="D162" s="6">
        <v>13.9</v>
      </c>
      <c r="E162" s="6">
        <v>37</v>
      </c>
      <c r="F162" s="7">
        <v>20.220000000000002</v>
      </c>
      <c r="G162" s="6">
        <v>166</v>
      </c>
      <c r="H162" s="6">
        <v>66.14</v>
      </c>
      <c r="I162">
        <f t="shared" si="15"/>
        <v>13.9</v>
      </c>
      <c r="J162">
        <f t="shared" si="16"/>
        <v>37</v>
      </c>
      <c r="K162">
        <f t="shared" si="17"/>
        <v>20.220000000000002</v>
      </c>
      <c r="L162" s="6">
        <v>151.5</v>
      </c>
    </row>
    <row r="163" spans="1:12" ht="15.75" customHeight="1" x14ac:dyDescent="0.25">
      <c r="A163" s="4">
        <v>152</v>
      </c>
      <c r="B163" s="5">
        <f t="shared" si="8"/>
        <v>45147</v>
      </c>
      <c r="C163" s="6">
        <v>31.2</v>
      </c>
      <c r="D163" s="6">
        <v>8.4</v>
      </c>
      <c r="E163" s="6">
        <v>48.7</v>
      </c>
      <c r="F163" s="7">
        <v>16.819999999999997</v>
      </c>
      <c r="G163" s="6">
        <v>125</v>
      </c>
      <c r="H163" s="6">
        <v>31.2</v>
      </c>
      <c r="I163">
        <f t="shared" si="15"/>
        <v>8.4</v>
      </c>
      <c r="J163">
        <f t="shared" si="16"/>
        <v>48.7</v>
      </c>
      <c r="K163">
        <f t="shared" si="17"/>
        <v>16.819999999999997</v>
      </c>
      <c r="L163" s="6">
        <v>149</v>
      </c>
    </row>
    <row r="164" spans="1:12" ht="15.75" customHeight="1" x14ac:dyDescent="0.25">
      <c r="A164" s="4">
        <v>153</v>
      </c>
      <c r="B164" s="5">
        <f t="shared" si="8"/>
        <v>45148</v>
      </c>
      <c r="C164" s="6">
        <v>40.519999999999996</v>
      </c>
      <c r="D164" s="6">
        <v>23.3</v>
      </c>
      <c r="E164" s="6">
        <v>14.2</v>
      </c>
      <c r="F164" s="7">
        <v>25.729999999999997</v>
      </c>
      <c r="G164" s="6">
        <v>169</v>
      </c>
      <c r="H164" s="6">
        <v>40.519999999999996</v>
      </c>
      <c r="I164">
        <f t="shared" si="15"/>
        <v>23.3</v>
      </c>
      <c r="J164">
        <f t="shared" si="16"/>
        <v>14.2</v>
      </c>
      <c r="K164">
        <f t="shared" si="17"/>
        <v>25.729999999999997</v>
      </c>
      <c r="L164" s="6">
        <v>137</v>
      </c>
    </row>
    <row r="165" spans="1:12" ht="15.75" customHeight="1" x14ac:dyDescent="0.25">
      <c r="A165" s="4">
        <v>154</v>
      </c>
      <c r="B165" s="5">
        <f t="shared" si="8"/>
        <v>45149</v>
      </c>
      <c r="C165" s="6">
        <v>37.260000000000005</v>
      </c>
      <c r="D165" s="6">
        <v>39.700000000000003</v>
      </c>
      <c r="E165" s="6">
        <v>37.700000000000003</v>
      </c>
      <c r="F165" s="7">
        <v>21.900000000000002</v>
      </c>
      <c r="G165" s="6">
        <v>208</v>
      </c>
      <c r="H165" s="6">
        <v>37.260000000000005</v>
      </c>
      <c r="I165">
        <f t="shared" si="15"/>
        <v>39.700000000000003</v>
      </c>
      <c r="J165">
        <f t="shared" si="16"/>
        <v>37.700000000000003</v>
      </c>
      <c r="K165">
        <f t="shared" si="17"/>
        <v>21.900000000000002</v>
      </c>
      <c r="L165" s="6">
        <v>196</v>
      </c>
    </row>
    <row r="166" spans="1:12" ht="15.75" customHeight="1" x14ac:dyDescent="0.25">
      <c r="A166" s="4">
        <v>155</v>
      </c>
      <c r="B166" s="5">
        <f t="shared" si="8"/>
        <v>45150</v>
      </c>
      <c r="C166" s="6">
        <v>43.56</v>
      </c>
      <c r="D166" s="6">
        <v>21.1</v>
      </c>
      <c r="E166" s="6">
        <v>9.5</v>
      </c>
      <c r="F166" s="7">
        <v>25.53</v>
      </c>
      <c r="G166" s="6">
        <v>166</v>
      </c>
      <c r="H166" s="6">
        <v>43.56</v>
      </c>
      <c r="I166">
        <f t="shared" si="15"/>
        <v>21.1</v>
      </c>
      <c r="J166">
        <f t="shared" si="16"/>
        <v>9.5</v>
      </c>
      <c r="K166">
        <f t="shared" si="17"/>
        <v>25.53</v>
      </c>
      <c r="L166" s="6">
        <v>201</v>
      </c>
    </row>
    <row r="167" spans="1:12" ht="15.75" customHeight="1" x14ac:dyDescent="0.25">
      <c r="A167" s="4">
        <v>156</v>
      </c>
      <c r="B167" s="5">
        <f t="shared" si="8"/>
        <v>45151</v>
      </c>
      <c r="C167" s="6">
        <v>9.82</v>
      </c>
      <c r="D167" s="6">
        <v>11.6</v>
      </c>
      <c r="E167" s="6">
        <v>5.7</v>
      </c>
      <c r="F167" s="7">
        <v>92</v>
      </c>
      <c r="G167" s="6">
        <v>35</v>
      </c>
      <c r="H167" s="6">
        <v>9.82</v>
      </c>
      <c r="I167">
        <f t="shared" si="15"/>
        <v>11.6</v>
      </c>
      <c r="J167">
        <f t="shared" si="16"/>
        <v>5.7</v>
      </c>
      <c r="K167">
        <f t="shared" si="17"/>
        <v>92</v>
      </c>
      <c r="L167" s="6">
        <v>139</v>
      </c>
    </row>
    <row r="168" spans="1:12" ht="15.75" customHeight="1" x14ac:dyDescent="0.25">
      <c r="A168" s="4">
        <v>157</v>
      </c>
      <c r="B168" s="5">
        <f t="shared" si="8"/>
        <v>45152</v>
      </c>
      <c r="C168" s="6">
        <v>25.78</v>
      </c>
      <c r="D168" s="6">
        <v>43.5</v>
      </c>
      <c r="E168" s="6">
        <v>50.5</v>
      </c>
      <c r="F168" s="7">
        <v>10.939999999999998</v>
      </c>
      <c r="G168" s="6">
        <v>173</v>
      </c>
      <c r="H168" s="6">
        <v>25.78</v>
      </c>
      <c r="I168">
        <f t="shared" si="15"/>
        <v>43.5</v>
      </c>
      <c r="J168">
        <f t="shared" si="16"/>
        <v>50.5</v>
      </c>
      <c r="K168">
        <f t="shared" si="17"/>
        <v>10.939999999999998</v>
      </c>
      <c r="L168" s="6">
        <v>124</v>
      </c>
    </row>
    <row r="169" spans="1:12" ht="15.75" customHeight="1" x14ac:dyDescent="0.25">
      <c r="A169" s="4">
        <v>158</v>
      </c>
      <c r="B169" s="5">
        <f t="shared" si="8"/>
        <v>45153</v>
      </c>
      <c r="C169" s="6">
        <v>39.96</v>
      </c>
      <c r="D169" s="6">
        <v>1.3</v>
      </c>
      <c r="E169" s="6">
        <v>24.3</v>
      </c>
      <c r="F169" s="7">
        <v>5.91</v>
      </c>
      <c r="G169" s="6">
        <v>111</v>
      </c>
      <c r="H169" s="6">
        <v>39.96</v>
      </c>
      <c r="I169">
        <f t="shared" si="15"/>
        <v>1.3</v>
      </c>
      <c r="J169">
        <f t="shared" si="16"/>
        <v>24.3</v>
      </c>
      <c r="K169">
        <f t="shared" si="17"/>
        <v>5.91</v>
      </c>
      <c r="L169" s="6">
        <v>199</v>
      </c>
    </row>
    <row r="170" spans="1:12" ht="15.75" customHeight="1" x14ac:dyDescent="0.25">
      <c r="A170" s="4">
        <v>159</v>
      </c>
      <c r="B170" s="5">
        <f t="shared" si="8"/>
        <v>45154</v>
      </c>
      <c r="C170" s="6">
        <v>12.34</v>
      </c>
      <c r="D170" s="6">
        <v>36.9</v>
      </c>
      <c r="E170" s="6">
        <v>45.2</v>
      </c>
      <c r="F170" s="7">
        <v>1.5399999999999956</v>
      </c>
      <c r="G170" s="6">
        <v>85</v>
      </c>
      <c r="H170" s="6">
        <v>12.34</v>
      </c>
      <c r="I170">
        <f t="shared" si="15"/>
        <v>36.9</v>
      </c>
      <c r="J170">
        <f t="shared" si="16"/>
        <v>45.2</v>
      </c>
      <c r="K170">
        <f t="shared" si="17"/>
        <v>1.5399999999999956</v>
      </c>
      <c r="L170" s="6">
        <v>245</v>
      </c>
    </row>
    <row r="171" spans="1:12" ht="15.75" customHeight="1" x14ac:dyDescent="0.25">
      <c r="A171" s="4">
        <v>160</v>
      </c>
      <c r="B171" s="5">
        <f t="shared" si="8"/>
        <v>45155</v>
      </c>
      <c r="C171" s="6">
        <v>32.339999999999996</v>
      </c>
      <c r="D171" s="6">
        <v>18.399999999999999</v>
      </c>
      <c r="E171" s="6">
        <v>34.6</v>
      </c>
      <c r="F171" s="7">
        <v>8.5299999999999958</v>
      </c>
      <c r="G171" s="6">
        <v>138</v>
      </c>
      <c r="H171" s="6">
        <v>32.339999999999996</v>
      </c>
      <c r="I171">
        <f t="shared" si="15"/>
        <v>18.399999999999999</v>
      </c>
      <c r="J171">
        <f t="shared" si="16"/>
        <v>34.6</v>
      </c>
      <c r="K171">
        <f t="shared" si="17"/>
        <v>8.5299999999999958</v>
      </c>
      <c r="L171" s="6">
        <v>183</v>
      </c>
    </row>
    <row r="172" spans="1:12" ht="15.75" customHeight="1" x14ac:dyDescent="0.25">
      <c r="A172" s="4">
        <v>161</v>
      </c>
      <c r="B172" s="5">
        <f t="shared" si="8"/>
        <v>45156</v>
      </c>
      <c r="C172" s="6">
        <v>44.5</v>
      </c>
      <c r="D172" s="6">
        <v>18.100000000000001</v>
      </c>
      <c r="E172" s="6">
        <v>30.7</v>
      </c>
      <c r="F172" s="7">
        <v>14.02</v>
      </c>
      <c r="G172" s="6">
        <v>159</v>
      </c>
      <c r="H172" s="6">
        <v>44.5</v>
      </c>
      <c r="I172">
        <f t="shared" si="15"/>
        <v>18.100000000000001</v>
      </c>
      <c r="J172">
        <f t="shared" si="16"/>
        <v>30.7</v>
      </c>
      <c r="K172">
        <f t="shared" si="17"/>
        <v>14.02</v>
      </c>
      <c r="L172" s="6">
        <v>127</v>
      </c>
    </row>
    <row r="173" spans="1:12" ht="15.75" customHeight="1" x14ac:dyDescent="0.25">
      <c r="A173" s="4">
        <v>162</v>
      </c>
      <c r="B173" s="5">
        <f t="shared" si="8"/>
        <v>45157</v>
      </c>
      <c r="C173" s="6">
        <v>19.14</v>
      </c>
      <c r="D173" s="6">
        <v>35.799999999999997</v>
      </c>
      <c r="E173" s="6">
        <v>49.3</v>
      </c>
      <c r="F173" s="7">
        <v>6.75</v>
      </c>
      <c r="G173" s="6">
        <v>151</v>
      </c>
      <c r="H173" s="6">
        <v>19.14</v>
      </c>
      <c r="I173">
        <f t="shared" si="15"/>
        <v>35.799999999999997</v>
      </c>
      <c r="J173">
        <f t="shared" si="16"/>
        <v>49.3</v>
      </c>
      <c r="K173">
        <f t="shared" si="17"/>
        <v>6.75</v>
      </c>
      <c r="L173" s="6">
        <v>230</v>
      </c>
    </row>
    <row r="174" spans="1:12" ht="15.75" customHeight="1" x14ac:dyDescent="0.25">
      <c r="A174" s="4">
        <v>163</v>
      </c>
      <c r="B174" s="5">
        <f t="shared" si="8"/>
        <v>45158</v>
      </c>
      <c r="C174" s="6">
        <v>42.68</v>
      </c>
      <c r="D174" s="6"/>
      <c r="E174" s="6"/>
      <c r="F174" s="7">
        <v>17.649999999999999</v>
      </c>
      <c r="G174" s="6">
        <v>168</v>
      </c>
      <c r="H174" s="6">
        <v>42.68</v>
      </c>
      <c r="I174">
        <f t="shared" si="15"/>
        <v>23.6</v>
      </c>
      <c r="J174">
        <f t="shared" si="16"/>
        <v>25.9</v>
      </c>
      <c r="K174">
        <f t="shared" si="17"/>
        <v>17.649999999999999</v>
      </c>
      <c r="L174" s="6">
        <v>170</v>
      </c>
    </row>
    <row r="175" spans="1:12" ht="15.75" customHeight="1" x14ac:dyDescent="0.25">
      <c r="A175" s="4">
        <v>164</v>
      </c>
      <c r="B175" s="5">
        <f t="shared" si="8"/>
        <v>45159</v>
      </c>
      <c r="C175" s="6">
        <v>33.700000000000003</v>
      </c>
      <c r="D175" s="6">
        <v>36.799999999999997</v>
      </c>
      <c r="E175" s="6">
        <v>7.4</v>
      </c>
      <c r="F175" s="7">
        <v>31.79</v>
      </c>
      <c r="G175" s="6">
        <v>193</v>
      </c>
      <c r="H175" s="6">
        <v>33.700000000000003</v>
      </c>
      <c r="I175">
        <f t="shared" si="15"/>
        <v>36.799999999999997</v>
      </c>
      <c r="J175">
        <f t="shared" si="16"/>
        <v>7.4</v>
      </c>
      <c r="K175">
        <f t="shared" si="17"/>
        <v>31.79</v>
      </c>
      <c r="L175" s="6">
        <v>264</v>
      </c>
    </row>
    <row r="176" spans="1:12" ht="15.75" customHeight="1" x14ac:dyDescent="0.25">
      <c r="A176" s="4">
        <v>165</v>
      </c>
      <c r="B176" s="5">
        <f t="shared" si="8"/>
        <v>45160</v>
      </c>
      <c r="C176" s="6">
        <v>28.44</v>
      </c>
      <c r="D176" s="6">
        <v>14.7</v>
      </c>
      <c r="E176" s="6">
        <v>5.4</v>
      </c>
      <c r="F176" s="7">
        <v>16.91</v>
      </c>
      <c r="G176" s="6">
        <v>132</v>
      </c>
      <c r="H176" s="6">
        <v>28.44</v>
      </c>
      <c r="I176">
        <f t="shared" si="15"/>
        <v>14.7</v>
      </c>
      <c r="J176">
        <f t="shared" si="16"/>
        <v>5.4</v>
      </c>
      <c r="K176">
        <f t="shared" si="17"/>
        <v>16.91</v>
      </c>
      <c r="L176" s="6">
        <v>150</v>
      </c>
    </row>
    <row r="177" spans="1:12" ht="15.75" customHeight="1" x14ac:dyDescent="0.25">
      <c r="A177" s="4">
        <v>166</v>
      </c>
      <c r="B177" s="5">
        <f t="shared" si="8"/>
        <v>45161</v>
      </c>
      <c r="C177" s="6">
        <v>56.9</v>
      </c>
      <c r="D177" s="6">
        <v>3.4</v>
      </c>
      <c r="E177" s="6">
        <v>84.8</v>
      </c>
      <c r="F177" s="7">
        <v>11.229999999999997</v>
      </c>
      <c r="G177" s="6">
        <v>131</v>
      </c>
      <c r="H177" s="6">
        <v>56.9</v>
      </c>
      <c r="I177">
        <f t="shared" si="15"/>
        <v>3.4</v>
      </c>
      <c r="J177">
        <f t="shared" si="16"/>
        <v>84.8</v>
      </c>
      <c r="K177">
        <f t="shared" si="17"/>
        <v>11.229999999999997</v>
      </c>
      <c r="L177" s="6">
        <v>208</v>
      </c>
    </row>
    <row r="178" spans="1:12" ht="15.75" customHeight="1" x14ac:dyDescent="0.25">
      <c r="A178" s="4">
        <v>167</v>
      </c>
      <c r="B178" s="5">
        <f t="shared" si="8"/>
        <v>45162</v>
      </c>
      <c r="C178" s="6">
        <v>11.58</v>
      </c>
      <c r="D178" s="6">
        <v>37.6</v>
      </c>
      <c r="E178" s="6">
        <v>21.6</v>
      </c>
      <c r="F178" s="7">
        <v>11.95</v>
      </c>
      <c r="G178" s="6">
        <v>90</v>
      </c>
      <c r="H178" s="6">
        <v>11.58</v>
      </c>
      <c r="I178">
        <f t="shared" si="15"/>
        <v>37.6</v>
      </c>
      <c r="J178">
        <f t="shared" si="16"/>
        <v>21.6</v>
      </c>
      <c r="K178">
        <f t="shared" si="17"/>
        <v>11.95</v>
      </c>
      <c r="L178" s="6">
        <v>142</v>
      </c>
    </row>
    <row r="179" spans="1:12" ht="15.75" customHeight="1" x14ac:dyDescent="0.25">
      <c r="A179" s="4">
        <v>168</v>
      </c>
      <c r="B179" s="5">
        <f t="shared" si="8"/>
        <v>45163</v>
      </c>
      <c r="C179" s="6">
        <v>48.36</v>
      </c>
      <c r="D179" s="6">
        <v>5.2</v>
      </c>
      <c r="E179" s="6">
        <v>19.399999999999999</v>
      </c>
      <c r="F179" s="7">
        <v>15.520000000000001</v>
      </c>
      <c r="G179" s="6">
        <v>129</v>
      </c>
      <c r="H179" s="6">
        <v>48.36</v>
      </c>
      <c r="I179">
        <f t="shared" si="15"/>
        <v>5.2</v>
      </c>
      <c r="J179">
        <f t="shared" si="16"/>
        <v>19.399999999999999</v>
      </c>
      <c r="K179">
        <f t="shared" si="17"/>
        <v>15.520000000000001</v>
      </c>
      <c r="L179" s="6">
        <v>147</v>
      </c>
    </row>
    <row r="180" spans="1:12" ht="15.75" customHeight="1" x14ac:dyDescent="0.25">
      <c r="A180" s="4">
        <v>169</v>
      </c>
      <c r="B180" s="5">
        <f t="shared" si="8"/>
        <v>45164</v>
      </c>
      <c r="C180" s="6">
        <v>45.08</v>
      </c>
      <c r="D180" s="6">
        <v>23.6</v>
      </c>
      <c r="E180" s="6">
        <v>57.6</v>
      </c>
      <c r="F180" s="7">
        <v>10.3</v>
      </c>
      <c r="G180" s="6">
        <v>185</v>
      </c>
      <c r="H180" s="6">
        <v>45.08</v>
      </c>
      <c r="I180">
        <f t="shared" si="15"/>
        <v>23.6</v>
      </c>
      <c r="J180">
        <f t="shared" si="16"/>
        <v>57.6</v>
      </c>
      <c r="K180">
        <f t="shared" si="17"/>
        <v>10.3</v>
      </c>
      <c r="L180" s="6">
        <v>221</v>
      </c>
    </row>
    <row r="181" spans="1:12" ht="15.75" customHeight="1" x14ac:dyDescent="0.25">
      <c r="A181" s="4">
        <v>170</v>
      </c>
      <c r="B181" s="5">
        <f t="shared" si="8"/>
        <v>45165</v>
      </c>
      <c r="C181" s="6">
        <v>60.86</v>
      </c>
      <c r="D181" s="6">
        <v>10.6</v>
      </c>
      <c r="E181" s="6">
        <v>6.4</v>
      </c>
      <c r="F181" s="7">
        <v>31.169999999999995</v>
      </c>
      <c r="G181" s="6">
        <v>162</v>
      </c>
      <c r="H181" s="6">
        <v>60.86</v>
      </c>
      <c r="I181">
        <f t="shared" si="15"/>
        <v>10.6</v>
      </c>
      <c r="J181">
        <f t="shared" si="16"/>
        <v>6.4</v>
      </c>
      <c r="K181">
        <f t="shared" si="17"/>
        <v>31.169999999999995</v>
      </c>
      <c r="L181" s="6">
        <v>236</v>
      </c>
    </row>
    <row r="182" spans="1:12" ht="15.75" customHeight="1" x14ac:dyDescent="0.25">
      <c r="A182" s="4">
        <v>171</v>
      </c>
      <c r="B182" s="5">
        <f t="shared" si="8"/>
        <v>45166</v>
      </c>
      <c r="C182" s="6">
        <v>12</v>
      </c>
      <c r="D182" s="6">
        <v>11.6</v>
      </c>
      <c r="E182" s="6">
        <v>18.399999999999999</v>
      </c>
      <c r="F182" s="7">
        <v>3.4400000000000013</v>
      </c>
      <c r="G182" s="6">
        <v>90</v>
      </c>
      <c r="H182" s="6">
        <v>12</v>
      </c>
      <c r="I182">
        <f t="shared" si="15"/>
        <v>11.6</v>
      </c>
      <c r="J182">
        <f t="shared" si="16"/>
        <v>18.399999999999999</v>
      </c>
      <c r="K182">
        <f t="shared" si="17"/>
        <v>3.4400000000000013</v>
      </c>
      <c r="L182" s="6">
        <v>225</v>
      </c>
    </row>
    <row r="183" spans="1:12" ht="15.75" customHeight="1" x14ac:dyDescent="0.25">
      <c r="A183" s="4">
        <v>172</v>
      </c>
      <c r="B183" s="5">
        <f t="shared" si="8"/>
        <v>45167</v>
      </c>
      <c r="C183" s="6">
        <v>42.9</v>
      </c>
      <c r="D183" s="6">
        <v>20.9</v>
      </c>
      <c r="E183" s="6">
        <v>47.4</v>
      </c>
      <c r="F183" s="7">
        <v>7.9399999999999977</v>
      </c>
      <c r="G183" s="6">
        <v>163</v>
      </c>
      <c r="H183" s="6">
        <v>42.9</v>
      </c>
      <c r="I183">
        <f t="shared" si="15"/>
        <v>20.9</v>
      </c>
      <c r="J183">
        <f t="shared" si="16"/>
        <v>47.4</v>
      </c>
      <c r="K183">
        <f t="shared" si="17"/>
        <v>7.9399999999999977</v>
      </c>
      <c r="L183" s="6">
        <v>256</v>
      </c>
    </row>
    <row r="184" spans="1:12" ht="15.75" customHeight="1" x14ac:dyDescent="0.25">
      <c r="A184" s="4">
        <v>173</v>
      </c>
      <c r="B184" s="5">
        <f t="shared" si="8"/>
        <v>45168</v>
      </c>
      <c r="C184" s="6">
        <v>9.92</v>
      </c>
      <c r="D184" s="6">
        <v>20.100000000000001</v>
      </c>
      <c r="E184" s="6">
        <v>17</v>
      </c>
      <c r="F184" s="7">
        <v>5.2100000000000009</v>
      </c>
      <c r="G184" s="6">
        <v>93</v>
      </c>
      <c r="H184" s="6">
        <v>9.92</v>
      </c>
      <c r="I184">
        <f t="shared" si="15"/>
        <v>20.100000000000001</v>
      </c>
      <c r="J184">
        <f t="shared" si="16"/>
        <v>17</v>
      </c>
      <c r="K184">
        <f t="shared" si="17"/>
        <v>5.2100000000000009</v>
      </c>
      <c r="L184" s="6">
        <v>131</v>
      </c>
    </row>
    <row r="185" spans="1:12" ht="15.75" customHeight="1" x14ac:dyDescent="0.25">
      <c r="A185" s="4">
        <v>174</v>
      </c>
      <c r="B185" s="5">
        <f t="shared" si="8"/>
        <v>45169</v>
      </c>
      <c r="C185" s="6">
        <v>36.68</v>
      </c>
      <c r="D185" s="6">
        <v>7.1</v>
      </c>
      <c r="E185" s="6">
        <v>12.8</v>
      </c>
      <c r="F185" s="7">
        <v>15.27</v>
      </c>
      <c r="G185" s="6">
        <v>129</v>
      </c>
      <c r="H185" s="6">
        <v>36.68</v>
      </c>
      <c r="I185">
        <f t="shared" si="15"/>
        <v>7.1</v>
      </c>
      <c r="J185">
        <f t="shared" si="16"/>
        <v>12.8</v>
      </c>
      <c r="K185">
        <f t="shared" si="17"/>
        <v>15.27</v>
      </c>
      <c r="L185" s="6">
        <v>235.5</v>
      </c>
    </row>
    <row r="186" spans="1:12" ht="15.75" customHeight="1" x14ac:dyDescent="0.25">
      <c r="A186" s="4">
        <v>175</v>
      </c>
      <c r="B186" s="5">
        <f t="shared" si="8"/>
        <v>45170</v>
      </c>
      <c r="C186" s="6">
        <v>53.480000000000004</v>
      </c>
      <c r="D186" s="6">
        <v>3.4</v>
      </c>
      <c r="E186" s="6">
        <v>13.1</v>
      </c>
      <c r="F186" s="7">
        <v>18.700000000000003</v>
      </c>
      <c r="G186" s="6">
        <v>127</v>
      </c>
      <c r="H186" s="6">
        <v>53.480000000000004</v>
      </c>
      <c r="I186">
        <f t="shared" si="15"/>
        <v>3.4</v>
      </c>
      <c r="J186">
        <f t="shared" si="16"/>
        <v>13.1</v>
      </c>
      <c r="K186">
        <f t="shared" si="17"/>
        <v>18.700000000000003</v>
      </c>
      <c r="L186" s="6">
        <v>216</v>
      </c>
    </row>
    <row r="187" spans="1:12" ht="15.75" customHeight="1" x14ac:dyDescent="0.25">
      <c r="A187" s="4">
        <v>176</v>
      </c>
      <c r="B187" s="5">
        <f t="shared" si="8"/>
        <v>45171</v>
      </c>
      <c r="C187" s="6">
        <v>64.38</v>
      </c>
      <c r="D187" s="6">
        <v>48.9</v>
      </c>
      <c r="E187" s="6">
        <v>41.8</v>
      </c>
      <c r="F187" s="7">
        <v>35.42</v>
      </c>
      <c r="G187" s="6">
        <v>271</v>
      </c>
      <c r="H187" s="6">
        <v>64.38</v>
      </c>
      <c r="I187">
        <f t="shared" si="15"/>
        <v>48.9</v>
      </c>
      <c r="J187">
        <f t="shared" si="16"/>
        <v>41.8</v>
      </c>
      <c r="K187">
        <f t="shared" si="17"/>
        <v>35.42</v>
      </c>
      <c r="L187" s="6">
        <v>210</v>
      </c>
    </row>
    <row r="188" spans="1:12" ht="15.75" customHeight="1" x14ac:dyDescent="0.25">
      <c r="A188" s="4">
        <v>177</v>
      </c>
      <c r="B188" s="5">
        <f t="shared" si="8"/>
        <v>45172</v>
      </c>
      <c r="C188" s="6">
        <v>58.68</v>
      </c>
      <c r="D188" s="6">
        <v>30.2</v>
      </c>
      <c r="E188" s="6">
        <v>20.3</v>
      </c>
      <c r="F188" s="7">
        <v>31.819999999999997</v>
      </c>
      <c r="G188" s="6">
        <v>216</v>
      </c>
      <c r="H188" s="6">
        <v>58.68</v>
      </c>
      <c r="I188">
        <f t="shared" si="15"/>
        <v>30.2</v>
      </c>
      <c r="J188">
        <f t="shared" si="16"/>
        <v>20.3</v>
      </c>
      <c r="K188">
        <f t="shared" si="17"/>
        <v>31.819999999999997</v>
      </c>
      <c r="L188" s="6">
        <v>188</v>
      </c>
    </row>
    <row r="189" spans="1:12" ht="15.75" customHeight="1" x14ac:dyDescent="0.25">
      <c r="A189" s="4">
        <v>178</v>
      </c>
      <c r="B189" s="5">
        <f t="shared" si="8"/>
        <v>45173</v>
      </c>
      <c r="C189" s="6">
        <v>40.04</v>
      </c>
      <c r="D189" s="6">
        <v>7.8</v>
      </c>
      <c r="E189" s="6">
        <v>35.200000000000003</v>
      </c>
      <c r="F189" s="7">
        <v>95</v>
      </c>
      <c r="G189" s="6">
        <v>131</v>
      </c>
      <c r="H189" s="6">
        <v>40.04</v>
      </c>
      <c r="I189">
        <f t="shared" si="15"/>
        <v>7.8</v>
      </c>
      <c r="J189">
        <f t="shared" si="16"/>
        <v>35.200000000000003</v>
      </c>
      <c r="K189">
        <f t="shared" si="17"/>
        <v>95</v>
      </c>
      <c r="L189" s="6">
        <v>167</v>
      </c>
    </row>
    <row r="190" spans="1:12" ht="15.75" customHeight="1" x14ac:dyDescent="0.25">
      <c r="A190" s="4">
        <v>179</v>
      </c>
      <c r="B190" s="5">
        <f t="shared" si="8"/>
        <v>45174</v>
      </c>
      <c r="C190" s="6">
        <v>63.339999999999996</v>
      </c>
      <c r="D190" s="6">
        <v>2.2999999999999998</v>
      </c>
      <c r="E190" s="6">
        <v>23.7</v>
      </c>
      <c r="F190" s="7">
        <v>19.339999999999996</v>
      </c>
      <c r="G190" s="6">
        <v>131</v>
      </c>
      <c r="H190" s="6">
        <v>63.339999999999996</v>
      </c>
      <c r="I190">
        <f t="shared" si="15"/>
        <v>2.2999999999999998</v>
      </c>
      <c r="J190">
        <f t="shared" si="16"/>
        <v>23.7</v>
      </c>
      <c r="K190">
        <f t="shared" si="17"/>
        <v>19.339999999999996</v>
      </c>
      <c r="L190" s="6">
        <v>139</v>
      </c>
    </row>
    <row r="191" spans="1:12" ht="15.75" customHeight="1" x14ac:dyDescent="0.25">
      <c r="A191" s="4">
        <v>180</v>
      </c>
      <c r="B191" s="5">
        <f t="shared" si="8"/>
        <v>45175</v>
      </c>
      <c r="C191" s="6">
        <v>41.12</v>
      </c>
      <c r="D191" s="6">
        <v>10</v>
      </c>
      <c r="E191" s="6">
        <v>17.600000000000001</v>
      </c>
      <c r="F191" s="7">
        <v>14.519999999999998</v>
      </c>
      <c r="G191" s="6">
        <v>135</v>
      </c>
      <c r="H191" s="6">
        <v>41.12</v>
      </c>
      <c r="I191">
        <f t="shared" si="15"/>
        <v>10</v>
      </c>
      <c r="J191">
        <f t="shared" si="16"/>
        <v>17.600000000000001</v>
      </c>
      <c r="K191">
        <f t="shared" si="17"/>
        <v>14.519999999999998</v>
      </c>
      <c r="L191" s="6">
        <v>231</v>
      </c>
    </row>
    <row r="192" spans="1:12" ht="15.75" customHeight="1" x14ac:dyDescent="0.25">
      <c r="A192" s="4">
        <v>181</v>
      </c>
      <c r="B192" s="5">
        <f t="shared" si="8"/>
        <v>45176</v>
      </c>
      <c r="C192" s="6">
        <v>36.32</v>
      </c>
      <c r="D192" s="6">
        <v>2.6</v>
      </c>
      <c r="E192" s="6">
        <v>8.3000000000000007</v>
      </c>
      <c r="F192" s="7">
        <v>13.64</v>
      </c>
      <c r="G192" s="6">
        <v>108</v>
      </c>
      <c r="H192" s="6">
        <v>36.32</v>
      </c>
      <c r="I192">
        <f t="shared" si="15"/>
        <v>2.6</v>
      </c>
      <c r="J192">
        <f t="shared" si="16"/>
        <v>8.3000000000000007</v>
      </c>
      <c r="K192">
        <f t="shared" si="17"/>
        <v>13.64</v>
      </c>
      <c r="L192" s="6">
        <v>162</v>
      </c>
    </row>
    <row r="193" spans="1:12" ht="15.75" customHeight="1" x14ac:dyDescent="0.25">
      <c r="A193" s="4">
        <v>182</v>
      </c>
      <c r="B193" s="5">
        <f t="shared" si="8"/>
        <v>45177</v>
      </c>
      <c r="C193" s="6">
        <v>52.7</v>
      </c>
      <c r="D193" s="6">
        <v>5.4</v>
      </c>
      <c r="E193" s="6">
        <v>27.4</v>
      </c>
      <c r="F193" s="7">
        <v>13.59</v>
      </c>
      <c r="G193" s="6">
        <v>124</v>
      </c>
      <c r="H193" s="6">
        <v>52.7</v>
      </c>
      <c r="I193">
        <f t="shared" si="15"/>
        <v>5.4</v>
      </c>
      <c r="J193">
        <f t="shared" si="16"/>
        <v>27.4</v>
      </c>
      <c r="K193">
        <f t="shared" si="17"/>
        <v>13.59</v>
      </c>
      <c r="L193" s="6">
        <v>184</v>
      </c>
    </row>
    <row r="194" spans="1:12" ht="15.75" customHeight="1" x14ac:dyDescent="0.25">
      <c r="A194" s="4">
        <v>183</v>
      </c>
      <c r="B194" s="5">
        <f t="shared" si="8"/>
        <v>45178</v>
      </c>
      <c r="C194" s="6">
        <v>18.240000000000002</v>
      </c>
      <c r="D194" s="6">
        <v>5.7</v>
      </c>
      <c r="E194" s="6">
        <v>29.7</v>
      </c>
      <c r="F194" s="7">
        <v>16.59</v>
      </c>
      <c r="G194" s="6">
        <v>105</v>
      </c>
      <c r="H194" s="6">
        <v>18.240000000000002</v>
      </c>
      <c r="I194">
        <f t="shared" si="15"/>
        <v>5.7</v>
      </c>
      <c r="J194">
        <f t="shared" si="16"/>
        <v>29.7</v>
      </c>
      <c r="K194">
        <f t="shared" si="17"/>
        <v>16.59</v>
      </c>
      <c r="L194" s="6">
        <v>240</v>
      </c>
    </row>
    <row r="195" spans="1:12" ht="15.75" customHeight="1" x14ac:dyDescent="0.25">
      <c r="A195" s="4">
        <v>184</v>
      </c>
      <c r="B195" s="5">
        <f t="shared" si="8"/>
        <v>45179</v>
      </c>
      <c r="C195" s="6">
        <v>65.52000000000001</v>
      </c>
      <c r="D195" s="6">
        <v>43</v>
      </c>
      <c r="E195" s="6">
        <v>71.8</v>
      </c>
      <c r="F195" s="7">
        <v>21.540000000000006</v>
      </c>
      <c r="G195" s="6">
        <v>272</v>
      </c>
      <c r="H195" s="6">
        <v>65.52000000000001</v>
      </c>
      <c r="I195">
        <f t="shared" si="15"/>
        <v>43</v>
      </c>
      <c r="J195">
        <f t="shared" si="16"/>
        <v>71.8</v>
      </c>
      <c r="K195">
        <f t="shared" si="17"/>
        <v>21.540000000000006</v>
      </c>
      <c r="L195" s="6">
        <v>129</v>
      </c>
    </row>
    <row r="196" spans="1:12" ht="15.75" customHeight="1" x14ac:dyDescent="0.25">
      <c r="A196" s="4">
        <v>185</v>
      </c>
      <c r="B196" s="5">
        <f t="shared" si="8"/>
        <v>45180</v>
      </c>
      <c r="C196" s="6">
        <v>58.760000000000005</v>
      </c>
      <c r="D196" s="6">
        <v>21.3</v>
      </c>
      <c r="E196" s="6">
        <v>30</v>
      </c>
      <c r="F196" s="7">
        <v>24.03</v>
      </c>
      <c r="G196" s="6">
        <v>188</v>
      </c>
      <c r="H196" s="6">
        <v>58.760000000000005</v>
      </c>
      <c r="I196">
        <f t="shared" si="15"/>
        <v>21.3</v>
      </c>
      <c r="J196">
        <f t="shared" si="16"/>
        <v>30</v>
      </c>
      <c r="K196">
        <f t="shared" si="17"/>
        <v>24.03</v>
      </c>
      <c r="L196" s="6">
        <v>258</v>
      </c>
    </row>
    <row r="197" spans="1:12" ht="15.75" customHeight="1" x14ac:dyDescent="0.25">
      <c r="A197" s="4">
        <v>186</v>
      </c>
      <c r="B197" s="5">
        <f t="shared" si="8"/>
        <v>45181</v>
      </c>
      <c r="C197" s="6">
        <v>46</v>
      </c>
      <c r="D197" s="6">
        <v>45.1</v>
      </c>
      <c r="E197" s="6">
        <v>19.600000000000001</v>
      </c>
      <c r="F197" s="7">
        <v>35.209999999999994</v>
      </c>
      <c r="G197" s="6">
        <v>228</v>
      </c>
      <c r="H197" s="6">
        <v>46</v>
      </c>
      <c r="I197">
        <f t="shared" si="15"/>
        <v>45.1</v>
      </c>
      <c r="J197">
        <f t="shared" si="16"/>
        <v>19.600000000000001</v>
      </c>
      <c r="K197">
        <f t="shared" si="17"/>
        <v>35.209999999999994</v>
      </c>
      <c r="L197" s="6">
        <v>220</v>
      </c>
    </row>
    <row r="198" spans="1:12" ht="15.75" customHeight="1" x14ac:dyDescent="0.25">
      <c r="A198" s="4">
        <v>187</v>
      </c>
      <c r="B198" s="5">
        <f t="shared" si="8"/>
        <v>45182</v>
      </c>
      <c r="C198" s="6">
        <v>35.9</v>
      </c>
      <c r="D198" s="6">
        <v>2.1</v>
      </c>
      <c r="E198" s="6">
        <v>26.6</v>
      </c>
      <c r="F198" s="7">
        <v>4.3599999999999994</v>
      </c>
      <c r="G198" s="6">
        <v>108</v>
      </c>
      <c r="H198" s="6">
        <v>35.9</v>
      </c>
      <c r="I198">
        <f t="shared" si="15"/>
        <v>2.1</v>
      </c>
      <c r="J198">
        <f t="shared" si="16"/>
        <v>26.6</v>
      </c>
      <c r="K198">
        <f t="shared" si="17"/>
        <v>4.3599999999999994</v>
      </c>
      <c r="L198" s="6">
        <v>254</v>
      </c>
    </row>
    <row r="199" spans="1:12" ht="15.75" customHeight="1" x14ac:dyDescent="0.25">
      <c r="A199" s="4">
        <v>188</v>
      </c>
      <c r="B199" s="5">
        <f t="shared" si="8"/>
        <v>45183</v>
      </c>
      <c r="C199" s="6">
        <v>41.22</v>
      </c>
      <c r="D199" s="6">
        <v>28.7</v>
      </c>
      <c r="E199" s="6">
        <v>18.2</v>
      </c>
      <c r="F199" s="7">
        <v>26.18</v>
      </c>
      <c r="G199" s="6">
        <v>186</v>
      </c>
      <c r="H199" s="6">
        <v>41.22</v>
      </c>
      <c r="I199">
        <f t="shared" si="15"/>
        <v>28.7</v>
      </c>
      <c r="J199">
        <f t="shared" si="16"/>
        <v>18.2</v>
      </c>
      <c r="K199">
        <f t="shared" si="17"/>
        <v>26.18</v>
      </c>
      <c r="L199" s="6">
        <v>131</v>
      </c>
    </row>
    <row r="200" spans="1:12" ht="15.75" customHeight="1" x14ac:dyDescent="0.25">
      <c r="A200" s="4">
        <v>189</v>
      </c>
      <c r="B200" s="5">
        <f t="shared" si="8"/>
        <v>45184</v>
      </c>
      <c r="C200" s="6">
        <v>59.2</v>
      </c>
      <c r="D200" s="6">
        <v>13.9</v>
      </c>
      <c r="E200" s="6">
        <v>3.7</v>
      </c>
      <c r="F200" s="7">
        <v>34.070000000000007</v>
      </c>
      <c r="G200" s="6">
        <v>167</v>
      </c>
      <c r="H200" s="6">
        <v>59.2</v>
      </c>
      <c r="I200">
        <f t="shared" si="15"/>
        <v>13.9</v>
      </c>
      <c r="J200">
        <f t="shared" si="16"/>
        <v>3.7</v>
      </c>
      <c r="K200">
        <f t="shared" si="17"/>
        <v>34.070000000000007</v>
      </c>
      <c r="L200" s="6">
        <v>158</v>
      </c>
    </row>
    <row r="201" spans="1:12" ht="15.75" customHeight="1" x14ac:dyDescent="0.25">
      <c r="A201" s="4">
        <v>190</v>
      </c>
      <c r="B201" s="5">
        <f t="shared" si="8"/>
        <v>45185</v>
      </c>
      <c r="C201" s="6">
        <v>6.74</v>
      </c>
      <c r="D201" s="6">
        <v>12.1</v>
      </c>
      <c r="E201" s="6">
        <v>23.4</v>
      </c>
      <c r="F201" s="7">
        <v>18.560000000000002</v>
      </c>
      <c r="G201" s="6">
        <v>83</v>
      </c>
      <c r="H201" s="6">
        <v>6.74</v>
      </c>
      <c r="I201">
        <f t="shared" si="15"/>
        <v>12.1</v>
      </c>
      <c r="J201">
        <f t="shared" si="16"/>
        <v>23.4</v>
      </c>
      <c r="K201">
        <f t="shared" si="17"/>
        <v>18.560000000000002</v>
      </c>
      <c r="L201" s="6">
        <v>271</v>
      </c>
    </row>
    <row r="202" spans="1:12" ht="15.75" customHeight="1" x14ac:dyDescent="0.25">
      <c r="A202" s="4">
        <v>191</v>
      </c>
      <c r="B202" s="5">
        <f t="shared" si="8"/>
        <v>45186</v>
      </c>
      <c r="C202" s="6">
        <v>15.9</v>
      </c>
      <c r="D202" s="6">
        <v>41.1</v>
      </c>
      <c r="E202" s="6">
        <v>5.8</v>
      </c>
      <c r="F202" s="7">
        <v>22.18</v>
      </c>
      <c r="G202" s="6">
        <v>114</v>
      </c>
      <c r="H202" s="6">
        <v>15.9</v>
      </c>
      <c r="I202">
        <f t="shared" si="15"/>
        <v>41.1</v>
      </c>
      <c r="J202">
        <f t="shared" si="16"/>
        <v>5.8</v>
      </c>
      <c r="K202">
        <f t="shared" si="17"/>
        <v>22.18</v>
      </c>
      <c r="L202" s="6">
        <v>257</v>
      </c>
    </row>
    <row r="203" spans="1:12" ht="15.75" customHeight="1" x14ac:dyDescent="0.25">
      <c r="A203" s="4">
        <v>192</v>
      </c>
      <c r="B203" s="5">
        <f t="shared" si="8"/>
        <v>45187</v>
      </c>
      <c r="C203" s="6">
        <v>21.1</v>
      </c>
      <c r="D203" s="6">
        <v>10.8</v>
      </c>
      <c r="E203" s="6">
        <v>6</v>
      </c>
      <c r="F203" s="7">
        <v>10.549999999999999</v>
      </c>
      <c r="G203" s="6">
        <v>116</v>
      </c>
      <c r="H203" s="6">
        <v>21.1</v>
      </c>
      <c r="I203">
        <f t="shared" si="15"/>
        <v>10.8</v>
      </c>
      <c r="J203">
        <f t="shared" si="16"/>
        <v>6</v>
      </c>
      <c r="K203">
        <f t="shared" si="17"/>
        <v>10.549999999999999</v>
      </c>
      <c r="L203" s="6">
        <v>272</v>
      </c>
    </row>
    <row r="204" spans="1:12" ht="15.75" customHeight="1" x14ac:dyDescent="0.25">
      <c r="A204" s="4">
        <v>193</v>
      </c>
      <c r="B204" s="5">
        <f t="shared" si="8"/>
        <v>45188</v>
      </c>
      <c r="C204" s="6">
        <v>12.44</v>
      </c>
      <c r="D204" s="6">
        <v>4.0999999999999996</v>
      </c>
      <c r="E204" s="6">
        <v>31.6</v>
      </c>
      <c r="F204" s="7">
        <v>11.129999999999999</v>
      </c>
      <c r="G204" s="6">
        <v>62</v>
      </c>
      <c r="H204" s="6">
        <v>12.44</v>
      </c>
      <c r="I204">
        <f t="shared" si="15"/>
        <v>4.0999999999999996</v>
      </c>
      <c r="J204">
        <f t="shared" si="16"/>
        <v>31.6</v>
      </c>
      <c r="K204">
        <f t="shared" si="17"/>
        <v>11.129999999999999</v>
      </c>
      <c r="L204" s="6">
        <v>166</v>
      </c>
    </row>
    <row r="205" spans="1:12" ht="15.75" customHeight="1" x14ac:dyDescent="0.25">
      <c r="A205" s="4">
        <v>194</v>
      </c>
      <c r="B205" s="5">
        <f t="shared" si="8"/>
        <v>45189</v>
      </c>
      <c r="C205" s="6">
        <v>41.36</v>
      </c>
      <c r="D205" s="6">
        <v>42</v>
      </c>
      <c r="E205" s="6">
        <v>3.6</v>
      </c>
      <c r="F205" s="7">
        <v>36.24</v>
      </c>
      <c r="G205" s="6">
        <v>204</v>
      </c>
      <c r="H205" s="6">
        <v>41.36</v>
      </c>
      <c r="I205">
        <f t="shared" ref="I205:I211" si="18">IF(ISBLANK(D205),$D$8,D205)</f>
        <v>42</v>
      </c>
      <c r="J205">
        <f t="shared" ref="J205:J211" si="19">IF(ISBLANK(E205),$E$8,E205)</f>
        <v>3.6</v>
      </c>
      <c r="K205">
        <f t="shared" ref="K205:K211" si="20">IF(ISBLANK(F205),$F$8,F205)</f>
        <v>36.24</v>
      </c>
      <c r="L205" s="6">
        <v>226</v>
      </c>
    </row>
    <row r="206" spans="1:12" ht="15.75" customHeight="1" x14ac:dyDescent="0.25">
      <c r="A206" s="4">
        <v>195</v>
      </c>
      <c r="B206" s="5">
        <f t="shared" si="8"/>
        <v>45190</v>
      </c>
      <c r="C206" s="6">
        <v>32.94</v>
      </c>
      <c r="D206" s="6">
        <v>35.6</v>
      </c>
      <c r="E206" s="6">
        <v>6</v>
      </c>
      <c r="F206" s="7"/>
      <c r="G206" s="6">
        <v>184</v>
      </c>
      <c r="H206" s="6">
        <v>32.94</v>
      </c>
      <c r="I206">
        <f t="shared" si="18"/>
        <v>35.6</v>
      </c>
      <c r="J206">
        <f t="shared" si="19"/>
        <v>6</v>
      </c>
      <c r="K206">
        <f t="shared" si="20"/>
        <v>17.100000000000001</v>
      </c>
      <c r="L206" s="6">
        <v>92</v>
      </c>
    </row>
    <row r="207" spans="1:12" ht="15.75" customHeight="1" x14ac:dyDescent="0.25">
      <c r="A207" s="4">
        <v>196</v>
      </c>
      <c r="B207" s="5">
        <f t="shared" si="8"/>
        <v>45191</v>
      </c>
      <c r="C207" s="6">
        <v>14.64</v>
      </c>
      <c r="D207" s="6">
        <v>3.7</v>
      </c>
      <c r="E207" s="6">
        <v>13.8</v>
      </c>
      <c r="F207" s="7">
        <v>0.14999999999999947</v>
      </c>
      <c r="G207" s="6">
        <v>91</v>
      </c>
      <c r="H207" s="6">
        <v>14.64</v>
      </c>
      <c r="I207">
        <f t="shared" si="18"/>
        <v>3.7</v>
      </c>
      <c r="J207">
        <f t="shared" si="19"/>
        <v>13.8</v>
      </c>
      <c r="K207">
        <f t="shared" si="20"/>
        <v>0.14999999999999947</v>
      </c>
      <c r="L207" s="6">
        <v>135</v>
      </c>
    </row>
    <row r="208" spans="1:12" ht="15.75" customHeight="1" x14ac:dyDescent="0.25">
      <c r="A208" s="4">
        <v>197</v>
      </c>
      <c r="B208" s="5">
        <f t="shared" si="8"/>
        <v>45192</v>
      </c>
      <c r="C208" s="6">
        <v>27.84</v>
      </c>
      <c r="D208" s="6">
        <v>4.9000000000000004</v>
      </c>
      <c r="E208" s="6">
        <v>8.1</v>
      </c>
      <c r="F208" s="7">
        <v>8.6300000000000008</v>
      </c>
      <c r="G208" s="6">
        <v>116</v>
      </c>
      <c r="H208" s="6">
        <v>27.84</v>
      </c>
      <c r="I208">
        <f t="shared" si="18"/>
        <v>4.9000000000000004</v>
      </c>
      <c r="J208">
        <f t="shared" si="19"/>
        <v>8.1</v>
      </c>
      <c r="K208">
        <f t="shared" si="20"/>
        <v>8.6300000000000008</v>
      </c>
      <c r="L208" s="6">
        <v>126</v>
      </c>
    </row>
    <row r="209" spans="1:12" ht="15.75" customHeight="1" x14ac:dyDescent="0.25">
      <c r="A209" s="4">
        <v>198</v>
      </c>
      <c r="B209" s="5">
        <f t="shared" si="8"/>
        <v>45193</v>
      </c>
      <c r="C209" s="6">
        <v>44.4</v>
      </c>
      <c r="D209" s="6">
        <v>9.3000000000000007</v>
      </c>
      <c r="E209" s="6">
        <v>6.4</v>
      </c>
      <c r="F209" s="7">
        <v>19.79</v>
      </c>
      <c r="G209" s="6">
        <v>139</v>
      </c>
      <c r="H209" s="6">
        <v>44.4</v>
      </c>
      <c r="I209">
        <f t="shared" si="18"/>
        <v>9.3000000000000007</v>
      </c>
      <c r="J209">
        <f t="shared" si="19"/>
        <v>6.4</v>
      </c>
      <c r="K209">
        <f t="shared" si="20"/>
        <v>19.79</v>
      </c>
      <c r="L209" s="6">
        <v>128</v>
      </c>
    </row>
    <row r="210" spans="1:12" ht="15.75" customHeight="1" x14ac:dyDescent="0.25">
      <c r="A210" s="4">
        <v>199</v>
      </c>
      <c r="B210" s="5">
        <f t="shared" si="8"/>
        <v>45194</v>
      </c>
      <c r="C210" s="6">
        <v>57.720000000000006</v>
      </c>
      <c r="D210" s="6">
        <v>42</v>
      </c>
      <c r="E210" s="6">
        <v>66.2</v>
      </c>
      <c r="F210" s="7">
        <v>22.879999999999995</v>
      </c>
      <c r="G210" s="6">
        <v>235.5</v>
      </c>
      <c r="H210" s="6">
        <v>57.720000000000006</v>
      </c>
      <c r="I210">
        <f t="shared" si="18"/>
        <v>42</v>
      </c>
      <c r="J210">
        <f t="shared" si="19"/>
        <v>66.2</v>
      </c>
      <c r="K210">
        <f t="shared" si="20"/>
        <v>22.879999999999995</v>
      </c>
      <c r="L210" s="6">
        <v>118</v>
      </c>
    </row>
    <row r="211" spans="1:12" ht="15.75" customHeight="1" x14ac:dyDescent="0.25">
      <c r="A211" s="4">
        <v>200</v>
      </c>
      <c r="B211" s="5">
        <v>45195</v>
      </c>
      <c r="C211" s="6">
        <v>52.42</v>
      </c>
      <c r="D211" s="6">
        <v>8.6</v>
      </c>
      <c r="E211" s="6">
        <v>8.6999999999999993</v>
      </c>
      <c r="F211" s="7">
        <v>1</v>
      </c>
      <c r="G211" s="6">
        <v>139</v>
      </c>
      <c r="H211" s="6">
        <v>52.42</v>
      </c>
      <c r="I211">
        <f t="shared" si="18"/>
        <v>8.6</v>
      </c>
      <c r="J211">
        <f t="shared" si="19"/>
        <v>8.6999999999999993</v>
      </c>
      <c r="K211">
        <f t="shared" si="20"/>
        <v>1</v>
      </c>
      <c r="L211" s="6">
        <v>227</v>
      </c>
    </row>
    <row r="212" spans="1:12" ht="15.75" customHeight="1" x14ac:dyDescent="0.25"/>
    <row r="213" spans="1:12" ht="15.75" customHeight="1" x14ac:dyDescent="0.25"/>
    <row r="214" spans="1:12" ht="15.75" customHeight="1" x14ac:dyDescent="0.25"/>
    <row r="215" spans="1:12" ht="15.75" customHeight="1" x14ac:dyDescent="0.25"/>
    <row r="216" spans="1:12" ht="15.75" customHeight="1" x14ac:dyDescent="0.25"/>
    <row r="217" spans="1:12" ht="15.75" customHeight="1" x14ac:dyDescent="0.25"/>
    <row r="218" spans="1:12" ht="15.75" customHeight="1" x14ac:dyDescent="0.25"/>
    <row r="219" spans="1:12" ht="15.75" customHeight="1" x14ac:dyDescent="0.25"/>
    <row r="220" spans="1:12" ht="15.75" customHeight="1" x14ac:dyDescent="0.25"/>
    <row r="221" spans="1:12" ht="15.75" customHeight="1" x14ac:dyDescent="0.25"/>
    <row r="222" spans="1:12" ht="15.75" customHeight="1" x14ac:dyDescent="0.25"/>
    <row r="223" spans="1:12" ht="15.75" customHeight="1" x14ac:dyDescent="0.25"/>
    <row r="224" spans="1:1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autoFilter ref="A11:G1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AA15-B5F4-46B3-81F4-D432A5D3B472}">
  <dimension ref="A1:K201"/>
  <sheetViews>
    <sheetView zoomScale="154" zoomScaleNormal="154" workbookViewId="0">
      <selection activeCell="J1" sqref="J1:K1"/>
    </sheetView>
  </sheetViews>
  <sheetFormatPr defaultRowHeight="15.75" x14ac:dyDescent="0.25"/>
  <sheetData>
    <row r="1" spans="1:11" x14ac:dyDescent="0.25">
      <c r="A1" s="2" t="s">
        <v>2</v>
      </c>
      <c r="B1" s="3" t="s">
        <v>5</v>
      </c>
      <c r="C1" s="2" t="s">
        <v>2</v>
      </c>
      <c r="E1" s="1" t="s">
        <v>0</v>
      </c>
      <c r="F1" s="2" t="s">
        <v>2</v>
      </c>
      <c r="G1" s="3" t="s">
        <v>5</v>
      </c>
      <c r="J1" s="2" t="s">
        <v>3</v>
      </c>
      <c r="K1" s="2" t="s">
        <v>4</v>
      </c>
    </row>
    <row r="2" spans="1:11" x14ac:dyDescent="0.25">
      <c r="A2" s="6">
        <v>6</v>
      </c>
      <c r="B2" s="6">
        <v>28</v>
      </c>
      <c r="E2" s="4">
        <v>57</v>
      </c>
      <c r="F2" s="6">
        <v>3.46</v>
      </c>
      <c r="G2" s="6">
        <v>71</v>
      </c>
      <c r="J2" s="6">
        <v>37.799999999999997</v>
      </c>
      <c r="K2" s="6">
        <v>69.2</v>
      </c>
    </row>
    <row r="3" spans="1:11" x14ac:dyDescent="0.25">
      <c r="A3" s="6">
        <v>9.82</v>
      </c>
      <c r="B3" s="6">
        <v>35</v>
      </c>
      <c r="E3" s="4">
        <v>133</v>
      </c>
      <c r="F3" s="6">
        <v>5.68</v>
      </c>
      <c r="G3" s="6">
        <v>71</v>
      </c>
      <c r="J3" s="6">
        <v>39.299999999999997</v>
      </c>
      <c r="K3" s="6">
        <v>45.1</v>
      </c>
    </row>
    <row r="4" spans="1:11" x14ac:dyDescent="0.25">
      <c r="A4" s="6">
        <v>9.7200000000000006</v>
      </c>
      <c r="B4" s="6">
        <v>54</v>
      </c>
      <c r="E4" s="4">
        <v>131</v>
      </c>
      <c r="F4" s="6">
        <v>6</v>
      </c>
      <c r="G4" s="6">
        <v>28</v>
      </c>
      <c r="J4" s="6">
        <v>45.9</v>
      </c>
      <c r="K4" s="6">
        <v>69.3</v>
      </c>
    </row>
    <row r="5" spans="1:11" x14ac:dyDescent="0.25">
      <c r="A5" s="6">
        <v>9.620000000000001</v>
      </c>
      <c r="B5" s="6">
        <v>54</v>
      </c>
      <c r="E5" s="4">
        <v>190</v>
      </c>
      <c r="F5" s="6">
        <v>6.74</v>
      </c>
      <c r="G5" s="6">
        <v>83</v>
      </c>
      <c r="J5" s="6">
        <v>41.3</v>
      </c>
      <c r="K5" s="6">
        <v>58.5</v>
      </c>
    </row>
    <row r="6" spans="1:11" x14ac:dyDescent="0.25">
      <c r="A6" s="6">
        <v>8.08</v>
      </c>
      <c r="B6" s="6">
        <v>62</v>
      </c>
      <c r="E6" s="4">
        <v>6</v>
      </c>
      <c r="F6" s="6">
        <v>6.74</v>
      </c>
      <c r="G6" s="6">
        <v>86</v>
      </c>
      <c r="J6" s="6">
        <v>10.8</v>
      </c>
      <c r="K6" s="6">
        <v>58.4</v>
      </c>
    </row>
    <row r="7" spans="1:11" x14ac:dyDescent="0.25">
      <c r="A7" s="6">
        <v>12.44</v>
      </c>
      <c r="B7" s="6">
        <v>62</v>
      </c>
      <c r="E7" s="4">
        <v>122</v>
      </c>
      <c r="F7" s="6">
        <v>7.76</v>
      </c>
      <c r="G7" s="6">
        <v>81</v>
      </c>
      <c r="J7" s="6">
        <v>48.9</v>
      </c>
      <c r="K7" s="6">
        <v>75</v>
      </c>
    </row>
    <row r="8" spans="1:11" x14ac:dyDescent="0.25">
      <c r="A8" s="6">
        <v>3.46</v>
      </c>
      <c r="B8" s="6">
        <v>71</v>
      </c>
      <c r="E8" s="4">
        <v>107</v>
      </c>
      <c r="F8" s="6">
        <v>8</v>
      </c>
      <c r="G8" s="6">
        <v>86</v>
      </c>
      <c r="J8" s="6">
        <v>32.799999999999997</v>
      </c>
      <c r="K8" s="6">
        <v>23.5</v>
      </c>
    </row>
    <row r="9" spans="1:11" x14ac:dyDescent="0.25">
      <c r="A9" s="6">
        <v>5.68</v>
      </c>
      <c r="B9" s="6">
        <v>71</v>
      </c>
      <c r="E9" s="4">
        <v>79</v>
      </c>
      <c r="F9" s="6">
        <v>8.08</v>
      </c>
      <c r="G9" s="6">
        <v>62</v>
      </c>
      <c r="J9" s="6">
        <v>19.600000000000001</v>
      </c>
      <c r="K9" s="6">
        <v>11.6</v>
      </c>
    </row>
    <row r="10" spans="1:11" x14ac:dyDescent="0.25">
      <c r="A10" s="6">
        <v>14.72</v>
      </c>
      <c r="B10" s="6">
        <v>74</v>
      </c>
      <c r="E10" s="4">
        <v>127</v>
      </c>
      <c r="F10" s="6">
        <v>8.56</v>
      </c>
      <c r="G10" s="6">
        <v>78</v>
      </c>
      <c r="J10" s="6">
        <v>2.1</v>
      </c>
      <c r="K10" s="6">
        <v>1</v>
      </c>
    </row>
    <row r="11" spans="1:11" x14ac:dyDescent="0.25">
      <c r="A11" s="6">
        <v>9.879999999999999</v>
      </c>
      <c r="B11" s="6">
        <v>77</v>
      </c>
      <c r="E11" s="4">
        <v>139</v>
      </c>
      <c r="F11" s="6">
        <v>9.6</v>
      </c>
      <c r="G11" s="6">
        <v>109</v>
      </c>
      <c r="J11" s="6">
        <v>2.6</v>
      </c>
      <c r="K11" s="6">
        <v>21.2</v>
      </c>
    </row>
    <row r="12" spans="1:11" x14ac:dyDescent="0.25">
      <c r="A12" s="6">
        <v>8.56</v>
      </c>
      <c r="B12" s="6">
        <v>78</v>
      </c>
      <c r="E12" s="4">
        <v>109</v>
      </c>
      <c r="F12" s="6">
        <v>9.620000000000001</v>
      </c>
      <c r="G12" s="6">
        <v>54</v>
      </c>
      <c r="J12" s="6">
        <v>5.8</v>
      </c>
      <c r="K12" s="6">
        <v>24.2</v>
      </c>
    </row>
    <row r="13" spans="1:11" x14ac:dyDescent="0.25">
      <c r="A13" s="6">
        <v>7.76</v>
      </c>
      <c r="B13" s="6">
        <v>81</v>
      </c>
      <c r="E13" s="4">
        <v>9</v>
      </c>
      <c r="F13" s="6">
        <v>9.7200000000000006</v>
      </c>
      <c r="G13" s="6">
        <v>54</v>
      </c>
      <c r="J13" s="6">
        <v>24</v>
      </c>
      <c r="K13" s="6">
        <v>4</v>
      </c>
    </row>
    <row r="14" spans="1:11" x14ac:dyDescent="0.25">
      <c r="A14" s="6">
        <v>16.7</v>
      </c>
      <c r="B14" s="6">
        <v>83</v>
      </c>
      <c r="E14" s="4">
        <v>156</v>
      </c>
      <c r="F14" s="6">
        <v>9.82</v>
      </c>
      <c r="G14" s="6">
        <v>35</v>
      </c>
      <c r="J14" s="6">
        <v>35.1</v>
      </c>
      <c r="K14" s="6">
        <v>65.900000000000006</v>
      </c>
    </row>
    <row r="15" spans="1:11" x14ac:dyDescent="0.25">
      <c r="A15" s="6">
        <v>13.5</v>
      </c>
      <c r="B15" s="6">
        <v>83</v>
      </c>
      <c r="E15" s="4">
        <v>120</v>
      </c>
      <c r="F15" s="6">
        <v>9.879999999999999</v>
      </c>
      <c r="G15" s="6">
        <v>77</v>
      </c>
      <c r="J15" s="6">
        <v>7.6</v>
      </c>
      <c r="K15" s="6">
        <v>7.2</v>
      </c>
    </row>
    <row r="16" spans="1:11" x14ac:dyDescent="0.25">
      <c r="A16" s="6">
        <v>6.74</v>
      </c>
      <c r="B16" s="6">
        <v>83</v>
      </c>
      <c r="E16" s="4">
        <v>173</v>
      </c>
      <c r="F16" s="6">
        <v>9.92</v>
      </c>
      <c r="G16" s="6">
        <v>93</v>
      </c>
      <c r="J16" s="6">
        <v>32.9</v>
      </c>
      <c r="K16" s="6">
        <v>46</v>
      </c>
    </row>
    <row r="17" spans="1:11" x14ac:dyDescent="0.25">
      <c r="A17" s="6">
        <v>12.34</v>
      </c>
      <c r="B17" s="6">
        <v>85</v>
      </c>
      <c r="E17" s="4">
        <v>137</v>
      </c>
      <c r="F17" s="6">
        <v>10.120000000000001</v>
      </c>
      <c r="G17" s="6">
        <v>98</v>
      </c>
      <c r="J17" s="6">
        <v>47.7</v>
      </c>
      <c r="K17" s="6">
        <v>52.9</v>
      </c>
    </row>
    <row r="18" spans="1:11" x14ac:dyDescent="0.25">
      <c r="A18" s="6">
        <v>6.74</v>
      </c>
      <c r="B18" s="6">
        <v>86</v>
      </c>
      <c r="E18" s="4">
        <v>13</v>
      </c>
      <c r="F18" s="6">
        <v>10.76</v>
      </c>
      <c r="G18" s="14">
        <v>95</v>
      </c>
      <c r="J18" s="6">
        <v>36.6</v>
      </c>
      <c r="K18" s="6">
        <v>93.625</v>
      </c>
    </row>
    <row r="19" spans="1:11" x14ac:dyDescent="0.25">
      <c r="A19" s="6">
        <v>8</v>
      </c>
      <c r="B19" s="6">
        <v>86</v>
      </c>
      <c r="E19" s="4">
        <v>2</v>
      </c>
      <c r="F19" s="6">
        <v>10.9</v>
      </c>
      <c r="G19" s="14">
        <v>122</v>
      </c>
      <c r="J19" s="6">
        <v>39.6</v>
      </c>
      <c r="K19" s="6">
        <v>55.8</v>
      </c>
    </row>
    <row r="20" spans="1:11" x14ac:dyDescent="0.25">
      <c r="A20" s="6">
        <v>12.02</v>
      </c>
      <c r="B20" s="6">
        <v>89</v>
      </c>
      <c r="E20" s="4">
        <v>167</v>
      </c>
      <c r="F20" s="6">
        <v>11.58</v>
      </c>
      <c r="G20" s="14">
        <v>90</v>
      </c>
      <c r="J20" s="6">
        <v>20.5</v>
      </c>
      <c r="K20" s="6">
        <v>18.3</v>
      </c>
    </row>
    <row r="21" spans="1:11" x14ac:dyDescent="0.25">
      <c r="A21" s="6">
        <v>11.58</v>
      </c>
      <c r="B21" s="6">
        <v>90</v>
      </c>
      <c r="E21" s="4">
        <v>23</v>
      </c>
      <c r="F21" s="6">
        <v>11.64</v>
      </c>
      <c r="G21" s="14">
        <v>95</v>
      </c>
      <c r="H21" s="15">
        <f>AVERAGE(G18:G24)</f>
        <v>95.142857142857139</v>
      </c>
      <c r="J21" s="6">
        <v>23.9</v>
      </c>
      <c r="K21" s="6">
        <v>19.100000000000001</v>
      </c>
    </row>
    <row r="22" spans="1:11" x14ac:dyDescent="0.25">
      <c r="A22" s="6">
        <v>12</v>
      </c>
      <c r="B22" s="6">
        <v>90</v>
      </c>
      <c r="E22" s="4">
        <v>171</v>
      </c>
      <c r="F22" s="6">
        <v>12</v>
      </c>
      <c r="G22" s="14">
        <v>90</v>
      </c>
      <c r="J22" s="6">
        <v>27.7</v>
      </c>
      <c r="K22" s="6">
        <v>53.4</v>
      </c>
    </row>
    <row r="23" spans="1:11" x14ac:dyDescent="0.25">
      <c r="A23" s="6">
        <v>14.64</v>
      </c>
      <c r="B23" s="6">
        <v>91</v>
      </c>
      <c r="E23" s="4">
        <v>45</v>
      </c>
      <c r="F23" s="6">
        <v>12.02</v>
      </c>
      <c r="G23" s="14">
        <v>89</v>
      </c>
      <c r="J23" s="6">
        <v>123</v>
      </c>
      <c r="K23" s="6">
        <v>23.5</v>
      </c>
    </row>
    <row r="24" spans="1:11" x14ac:dyDescent="0.25">
      <c r="A24" s="6">
        <v>24.14</v>
      </c>
      <c r="B24" s="6">
        <v>91.5</v>
      </c>
      <c r="E24" s="4">
        <v>159</v>
      </c>
      <c r="F24" s="6">
        <v>12.34</v>
      </c>
      <c r="G24" s="14">
        <v>85</v>
      </c>
      <c r="J24" s="6">
        <v>15.9</v>
      </c>
      <c r="K24" s="6">
        <v>49.6</v>
      </c>
    </row>
    <row r="25" spans="1:11" x14ac:dyDescent="0.25">
      <c r="A25" s="6">
        <v>71.06</v>
      </c>
      <c r="B25" s="6">
        <v>92</v>
      </c>
      <c r="E25" s="4">
        <v>76</v>
      </c>
      <c r="F25" s="6">
        <v>12.379999999999999</v>
      </c>
      <c r="G25" s="6">
        <v>105</v>
      </c>
      <c r="J25" s="6">
        <v>16.899999999999999</v>
      </c>
      <c r="K25" s="6">
        <v>26.2</v>
      </c>
    </row>
    <row r="26" spans="1:11" x14ac:dyDescent="0.25">
      <c r="A26" s="6">
        <v>31.860000000000003</v>
      </c>
      <c r="B26" s="6">
        <v>93</v>
      </c>
      <c r="E26" s="4">
        <v>193</v>
      </c>
      <c r="F26" s="6">
        <v>12.44</v>
      </c>
      <c r="G26" s="6">
        <v>62</v>
      </c>
      <c r="J26" s="6">
        <v>12.6</v>
      </c>
      <c r="K26" s="6">
        <v>18.3</v>
      </c>
    </row>
    <row r="27" spans="1:11" x14ac:dyDescent="0.25">
      <c r="A27" s="6">
        <v>9.92</v>
      </c>
      <c r="B27" s="6">
        <v>93</v>
      </c>
      <c r="E27" s="4">
        <v>3</v>
      </c>
      <c r="F27" s="6">
        <v>12.44</v>
      </c>
      <c r="G27" s="6">
        <v>96</v>
      </c>
      <c r="J27" s="6">
        <v>3.5</v>
      </c>
      <c r="K27" s="6">
        <v>19.5</v>
      </c>
    </row>
    <row r="28" spans="1:11" x14ac:dyDescent="0.25">
      <c r="A28" s="6">
        <v>23.22</v>
      </c>
      <c r="B28" s="6">
        <v>95</v>
      </c>
      <c r="E28" s="4">
        <v>77</v>
      </c>
      <c r="F28" s="6">
        <v>13.5</v>
      </c>
      <c r="G28" s="6">
        <v>83</v>
      </c>
      <c r="J28" s="6">
        <v>29.3</v>
      </c>
      <c r="K28" s="6">
        <v>12.6</v>
      </c>
    </row>
    <row r="29" spans="1:11" x14ac:dyDescent="0.25">
      <c r="A29" s="6">
        <v>10.76</v>
      </c>
      <c r="B29" s="6">
        <v>95</v>
      </c>
      <c r="E29" s="4">
        <v>7</v>
      </c>
      <c r="F29" s="6">
        <v>13.5</v>
      </c>
      <c r="G29" s="6">
        <v>123</v>
      </c>
      <c r="J29" s="6">
        <v>16.7</v>
      </c>
      <c r="K29" s="6">
        <v>22.9</v>
      </c>
    </row>
    <row r="30" spans="1:11" x14ac:dyDescent="0.25">
      <c r="A30" s="6">
        <v>12.44</v>
      </c>
      <c r="B30" s="6">
        <v>96</v>
      </c>
      <c r="E30" s="4">
        <v>135</v>
      </c>
      <c r="F30" s="6">
        <v>14.379999999999999</v>
      </c>
      <c r="G30" s="6">
        <v>124</v>
      </c>
      <c r="J30" s="6">
        <v>27.1</v>
      </c>
      <c r="K30" s="6">
        <v>22.9</v>
      </c>
    </row>
    <row r="31" spans="1:11" x14ac:dyDescent="0.25">
      <c r="A31" s="6">
        <v>10.120000000000001</v>
      </c>
      <c r="B31" s="6">
        <v>98</v>
      </c>
      <c r="E31" s="4">
        <v>50</v>
      </c>
      <c r="F31" s="6">
        <v>14.38</v>
      </c>
      <c r="G31" s="6">
        <v>111</v>
      </c>
      <c r="J31" s="6">
        <v>16</v>
      </c>
      <c r="K31" s="6">
        <v>40.799999999999997</v>
      </c>
    </row>
    <row r="32" spans="1:11" x14ac:dyDescent="0.25">
      <c r="A32" s="6">
        <v>15.3</v>
      </c>
      <c r="B32" s="6">
        <v>104</v>
      </c>
      <c r="E32" s="4">
        <v>39</v>
      </c>
      <c r="F32" s="6">
        <v>14.620000000000001</v>
      </c>
      <c r="G32" s="6">
        <v>114</v>
      </c>
      <c r="J32" s="6">
        <v>28.3</v>
      </c>
      <c r="K32" s="6">
        <v>43.2</v>
      </c>
    </row>
    <row r="33" spans="1:11" x14ac:dyDescent="0.25">
      <c r="A33" s="6">
        <v>27.080000000000002</v>
      </c>
      <c r="B33" s="6">
        <v>104</v>
      </c>
      <c r="E33" s="4">
        <v>196</v>
      </c>
      <c r="F33" s="6">
        <v>14.64</v>
      </c>
      <c r="G33" s="6">
        <v>91</v>
      </c>
      <c r="J33" s="6">
        <v>17.399999999999999</v>
      </c>
      <c r="K33" s="6">
        <v>38.6</v>
      </c>
    </row>
    <row r="34" spans="1:11" x14ac:dyDescent="0.25">
      <c r="A34" s="6">
        <v>12.379999999999999</v>
      </c>
      <c r="B34" s="6">
        <v>105</v>
      </c>
      <c r="E34" s="4">
        <v>136</v>
      </c>
      <c r="F34" s="6">
        <v>14.66</v>
      </c>
      <c r="G34" s="6">
        <v>124</v>
      </c>
      <c r="J34" s="6">
        <v>1.5</v>
      </c>
      <c r="K34" s="6">
        <v>30</v>
      </c>
    </row>
    <row r="35" spans="1:11" x14ac:dyDescent="0.25">
      <c r="A35" s="6">
        <v>18.240000000000002</v>
      </c>
      <c r="B35" s="6">
        <v>105</v>
      </c>
      <c r="E35" s="4">
        <v>92</v>
      </c>
      <c r="F35" s="6">
        <v>14.72</v>
      </c>
      <c r="G35" s="6">
        <v>74</v>
      </c>
      <c r="J35" s="6">
        <v>20</v>
      </c>
      <c r="K35" s="6">
        <v>0.3</v>
      </c>
    </row>
    <row r="36" spans="1:11" x14ac:dyDescent="0.25">
      <c r="A36" s="6">
        <v>15.36</v>
      </c>
      <c r="B36" s="6">
        <v>106</v>
      </c>
      <c r="E36" s="4">
        <v>19</v>
      </c>
      <c r="F36" s="6">
        <v>14.84</v>
      </c>
      <c r="G36" s="6">
        <v>127</v>
      </c>
      <c r="J36" s="6">
        <v>1.4</v>
      </c>
      <c r="K36" s="6">
        <v>7.4</v>
      </c>
    </row>
    <row r="37" spans="1:11" x14ac:dyDescent="0.25">
      <c r="A37" s="6">
        <v>25.28</v>
      </c>
      <c r="B37" s="6">
        <v>108</v>
      </c>
      <c r="E37" s="4">
        <v>30</v>
      </c>
      <c r="F37" s="6">
        <v>15.12</v>
      </c>
      <c r="G37" s="6">
        <v>123</v>
      </c>
      <c r="J37" s="6">
        <v>4.0999999999999996</v>
      </c>
      <c r="K37" s="6">
        <v>8.5</v>
      </c>
    </row>
    <row r="38" spans="1:11" x14ac:dyDescent="0.25">
      <c r="A38" s="6">
        <v>36.32</v>
      </c>
      <c r="B38" s="6">
        <v>108</v>
      </c>
      <c r="E38" s="4">
        <v>67</v>
      </c>
      <c r="F38" s="6">
        <v>15.3</v>
      </c>
      <c r="G38" s="6">
        <v>104</v>
      </c>
      <c r="J38" s="6">
        <v>43.8</v>
      </c>
      <c r="K38" s="6">
        <v>5</v>
      </c>
    </row>
    <row r="39" spans="1:11" x14ac:dyDescent="0.25">
      <c r="A39" s="6">
        <v>35.9</v>
      </c>
      <c r="B39" s="6">
        <v>108</v>
      </c>
      <c r="E39" s="4">
        <v>73</v>
      </c>
      <c r="F39" s="6">
        <v>15.36</v>
      </c>
      <c r="G39" s="6">
        <v>106</v>
      </c>
      <c r="J39" s="6">
        <v>49.4</v>
      </c>
      <c r="K39" s="6">
        <v>45.7</v>
      </c>
    </row>
    <row r="40" spans="1:11" x14ac:dyDescent="0.25">
      <c r="A40" s="6">
        <v>21.8</v>
      </c>
      <c r="B40" s="6">
        <v>109</v>
      </c>
      <c r="E40" s="4">
        <v>149</v>
      </c>
      <c r="F40" s="6">
        <v>15.6</v>
      </c>
      <c r="G40" s="6">
        <v>110</v>
      </c>
      <c r="J40" s="6">
        <v>26.7</v>
      </c>
      <c r="K40" s="6">
        <v>35.1</v>
      </c>
    </row>
    <row r="41" spans="1:11" x14ac:dyDescent="0.25">
      <c r="A41" s="6">
        <v>9.6</v>
      </c>
      <c r="B41" s="6">
        <v>109</v>
      </c>
      <c r="E41" s="4">
        <v>191</v>
      </c>
      <c r="F41" s="6">
        <v>15.9</v>
      </c>
      <c r="G41" s="6">
        <v>114</v>
      </c>
      <c r="J41" s="6">
        <v>37.700000000000003</v>
      </c>
      <c r="K41" s="6">
        <v>32</v>
      </c>
    </row>
    <row r="42" spans="1:11" x14ac:dyDescent="0.25">
      <c r="A42" s="6">
        <v>20.46</v>
      </c>
      <c r="B42" s="6">
        <v>110</v>
      </c>
      <c r="E42" s="4">
        <v>61</v>
      </c>
      <c r="F42" s="6">
        <v>16.7</v>
      </c>
      <c r="G42" s="6">
        <v>83</v>
      </c>
      <c r="J42" s="6">
        <v>22.3</v>
      </c>
      <c r="K42" s="6">
        <v>31.6</v>
      </c>
    </row>
    <row r="43" spans="1:11" x14ac:dyDescent="0.25">
      <c r="A43" s="6">
        <v>15.6</v>
      </c>
      <c r="B43" s="6">
        <v>110</v>
      </c>
      <c r="E43" s="4">
        <v>83</v>
      </c>
      <c r="F43" s="6">
        <v>18.059999999999999</v>
      </c>
      <c r="G43" s="6">
        <v>128</v>
      </c>
      <c r="J43" s="6">
        <v>33.4</v>
      </c>
      <c r="K43" s="6">
        <v>38.700000000000003</v>
      </c>
    </row>
    <row r="44" spans="1:11" x14ac:dyDescent="0.25">
      <c r="A44" s="6">
        <v>14.38</v>
      </c>
      <c r="B44" s="6">
        <v>111</v>
      </c>
      <c r="E44" s="4">
        <v>183</v>
      </c>
      <c r="F44" s="6">
        <v>18.240000000000002</v>
      </c>
      <c r="G44" s="6">
        <v>105</v>
      </c>
      <c r="J44" s="6">
        <v>27.7</v>
      </c>
      <c r="K44" s="6">
        <v>1.8</v>
      </c>
    </row>
    <row r="45" spans="1:11" x14ac:dyDescent="0.25">
      <c r="A45" s="6">
        <v>39.96</v>
      </c>
      <c r="B45" s="6">
        <v>111</v>
      </c>
      <c r="E45" s="4">
        <v>126</v>
      </c>
      <c r="F45" s="6">
        <v>18.440000000000001</v>
      </c>
      <c r="G45" s="6">
        <v>126</v>
      </c>
      <c r="J45" s="6">
        <v>8.4</v>
      </c>
      <c r="K45" s="6">
        <v>26.4</v>
      </c>
    </row>
    <row r="46" spans="1:11" x14ac:dyDescent="0.25">
      <c r="A46" s="14">
        <v>20.440000000000001</v>
      </c>
      <c r="B46" s="6">
        <v>112</v>
      </c>
      <c r="E46" s="4">
        <v>115</v>
      </c>
      <c r="F46" s="6">
        <v>18.64</v>
      </c>
      <c r="G46" s="6">
        <v>152</v>
      </c>
      <c r="J46" s="6">
        <v>25.7</v>
      </c>
      <c r="K46" s="6">
        <v>43.3</v>
      </c>
    </row>
    <row r="47" spans="1:11" x14ac:dyDescent="0.25">
      <c r="A47" s="14">
        <v>29.080000000000002</v>
      </c>
      <c r="B47" s="6">
        <v>112</v>
      </c>
      <c r="E47" s="4">
        <v>130</v>
      </c>
      <c r="F47" s="6">
        <v>18.920000000000002</v>
      </c>
      <c r="G47" s="6">
        <v>116</v>
      </c>
      <c r="J47" s="6">
        <v>22.5</v>
      </c>
      <c r="K47" s="6">
        <v>31.5</v>
      </c>
    </row>
    <row r="48" spans="1:11" x14ac:dyDescent="0.25">
      <c r="A48" s="14">
        <v>26.5</v>
      </c>
      <c r="B48" s="6">
        <v>113</v>
      </c>
      <c r="E48" s="4">
        <v>47</v>
      </c>
      <c r="F48" s="6">
        <v>18.940000000000001</v>
      </c>
      <c r="G48" s="6">
        <v>119</v>
      </c>
      <c r="J48" s="6">
        <v>9.9</v>
      </c>
      <c r="K48" s="6">
        <v>35.700000000000003</v>
      </c>
    </row>
    <row r="49" spans="1:11" x14ac:dyDescent="0.25">
      <c r="A49" s="14"/>
      <c r="B49" s="6">
        <v>113</v>
      </c>
      <c r="C49" s="15">
        <f>AVERAGE(A46:A52)</f>
        <v>20.910000000000004</v>
      </c>
      <c r="E49" s="4">
        <v>162</v>
      </c>
      <c r="F49" s="6">
        <v>19.14</v>
      </c>
      <c r="G49" s="6">
        <v>151</v>
      </c>
      <c r="J49" s="6">
        <v>41.5</v>
      </c>
      <c r="K49" s="6">
        <v>18.5</v>
      </c>
    </row>
    <row r="50" spans="1:11" x14ac:dyDescent="0.25">
      <c r="A50" s="14">
        <v>14.620000000000001</v>
      </c>
      <c r="B50" s="6">
        <v>114</v>
      </c>
      <c r="E50" s="4">
        <v>81</v>
      </c>
      <c r="F50" s="6">
        <v>19.28</v>
      </c>
      <c r="G50" s="6">
        <v>120</v>
      </c>
      <c r="J50" s="6">
        <v>15.8</v>
      </c>
      <c r="K50" s="6">
        <v>49.9</v>
      </c>
    </row>
    <row r="51" spans="1:11" x14ac:dyDescent="0.25">
      <c r="A51" s="14">
        <v>15.9</v>
      </c>
      <c r="B51" s="6">
        <v>114</v>
      </c>
      <c r="E51" s="4">
        <v>33</v>
      </c>
      <c r="F51" s="6">
        <v>20.440000000000001</v>
      </c>
      <c r="G51" s="6">
        <v>112</v>
      </c>
      <c r="J51" s="6">
        <v>11.7</v>
      </c>
      <c r="K51" s="6">
        <v>36.799999999999997</v>
      </c>
    </row>
    <row r="52" spans="1:11" x14ac:dyDescent="0.25">
      <c r="A52" s="14">
        <v>18.920000000000002</v>
      </c>
      <c r="B52" s="6">
        <v>116</v>
      </c>
      <c r="E52" s="4">
        <v>25</v>
      </c>
      <c r="F52" s="6">
        <v>20.46</v>
      </c>
      <c r="G52" s="6">
        <v>110</v>
      </c>
      <c r="J52" s="6">
        <v>3.1</v>
      </c>
      <c r="K52" s="6">
        <v>34.6</v>
      </c>
    </row>
    <row r="53" spans="1:11" x14ac:dyDescent="0.25">
      <c r="A53" s="6">
        <v>21.1</v>
      </c>
      <c r="B53" s="6">
        <v>116</v>
      </c>
      <c r="E53" s="4">
        <v>141</v>
      </c>
      <c r="F53" s="6">
        <v>21</v>
      </c>
      <c r="G53" s="6">
        <v>113</v>
      </c>
      <c r="J53" s="6">
        <v>9.6</v>
      </c>
      <c r="K53" s="6">
        <v>3.6</v>
      </c>
    </row>
    <row r="54" spans="1:11" x14ac:dyDescent="0.25">
      <c r="A54" s="6">
        <v>27.84</v>
      </c>
      <c r="B54" s="6">
        <v>116</v>
      </c>
      <c r="E54" s="4">
        <v>192</v>
      </c>
      <c r="F54" s="6">
        <v>21.1</v>
      </c>
      <c r="G54" s="6">
        <v>116</v>
      </c>
      <c r="J54" s="6">
        <v>41.7</v>
      </c>
      <c r="K54" s="6">
        <v>39.6</v>
      </c>
    </row>
    <row r="55" spans="1:11" x14ac:dyDescent="0.25">
      <c r="A55" s="6">
        <v>28.880000000000003</v>
      </c>
      <c r="B55" s="6">
        <v>117</v>
      </c>
      <c r="E55" s="4">
        <v>87</v>
      </c>
      <c r="F55" s="6">
        <v>21.259999999999998</v>
      </c>
      <c r="G55" s="6">
        <v>122</v>
      </c>
      <c r="J55" s="6">
        <v>46.2</v>
      </c>
      <c r="K55" s="6">
        <v>58.7</v>
      </c>
    </row>
    <row r="56" spans="1:11" x14ac:dyDescent="0.25">
      <c r="A56" s="6">
        <v>30.48</v>
      </c>
      <c r="B56" s="6">
        <v>117</v>
      </c>
      <c r="E56" s="4">
        <v>66</v>
      </c>
      <c r="F56" s="6">
        <v>21.8</v>
      </c>
      <c r="G56" s="6">
        <v>109</v>
      </c>
      <c r="J56" s="6">
        <v>28.8</v>
      </c>
      <c r="K56" s="6">
        <v>15.9</v>
      </c>
    </row>
    <row r="57" spans="1:11" x14ac:dyDescent="0.25">
      <c r="A57" s="6">
        <v>164</v>
      </c>
      <c r="B57" s="6">
        <v>118</v>
      </c>
      <c r="E57" s="4">
        <v>84</v>
      </c>
      <c r="F57" s="6">
        <v>22.68</v>
      </c>
      <c r="G57" s="6">
        <v>149</v>
      </c>
      <c r="J57" s="6">
        <v>49.4</v>
      </c>
      <c r="K57" s="6">
        <v>60</v>
      </c>
    </row>
    <row r="58" spans="1:11" x14ac:dyDescent="0.25">
      <c r="A58" s="6">
        <v>40.96</v>
      </c>
      <c r="B58" s="6">
        <v>119</v>
      </c>
      <c r="E58" s="4">
        <v>11</v>
      </c>
      <c r="F58" s="6">
        <v>23.22</v>
      </c>
      <c r="G58" s="6">
        <v>95</v>
      </c>
      <c r="J58" s="6">
        <v>28.1</v>
      </c>
      <c r="K58" s="6">
        <v>41.4</v>
      </c>
    </row>
    <row r="59" spans="1:11" x14ac:dyDescent="0.25">
      <c r="A59" s="6">
        <v>18.940000000000001</v>
      </c>
      <c r="B59" s="6">
        <v>119</v>
      </c>
      <c r="E59" s="4">
        <v>90</v>
      </c>
      <c r="F59" s="6">
        <v>23.96</v>
      </c>
      <c r="G59" s="6">
        <v>177</v>
      </c>
      <c r="J59" s="6">
        <v>19.2</v>
      </c>
      <c r="K59" s="6">
        <v>16.600000000000001</v>
      </c>
    </row>
    <row r="60" spans="1:11" x14ac:dyDescent="0.25">
      <c r="A60" s="6">
        <v>31.2</v>
      </c>
      <c r="B60" s="6">
        <v>120</v>
      </c>
      <c r="E60" s="4">
        <v>116</v>
      </c>
      <c r="F60" s="6">
        <v>24.02</v>
      </c>
      <c r="G60" s="6">
        <v>133</v>
      </c>
      <c r="J60" s="6">
        <v>49.6</v>
      </c>
      <c r="K60" s="6">
        <v>37.700000000000003</v>
      </c>
    </row>
    <row r="61" spans="1:11" x14ac:dyDescent="0.25">
      <c r="A61" s="6">
        <v>19.28</v>
      </c>
      <c r="B61" s="6">
        <v>120</v>
      </c>
      <c r="E61" s="4">
        <v>35</v>
      </c>
      <c r="F61" s="6">
        <v>24.14</v>
      </c>
      <c r="G61" s="6">
        <v>91.5</v>
      </c>
      <c r="J61" s="6">
        <v>29.5</v>
      </c>
      <c r="K61" s="6">
        <v>9.3000000000000007</v>
      </c>
    </row>
    <row r="62" spans="1:11" x14ac:dyDescent="0.25">
      <c r="A62" s="6">
        <v>10.9</v>
      </c>
      <c r="B62" s="6">
        <v>122</v>
      </c>
      <c r="E62" s="4">
        <v>38</v>
      </c>
      <c r="F62" s="6">
        <v>24.94</v>
      </c>
      <c r="G62" s="6">
        <v>152</v>
      </c>
      <c r="J62" s="6">
        <v>2</v>
      </c>
      <c r="K62" s="6">
        <v>21.4</v>
      </c>
    </row>
    <row r="63" spans="1:11" x14ac:dyDescent="0.25">
      <c r="A63" s="6">
        <v>43.96</v>
      </c>
      <c r="B63" s="6">
        <v>122</v>
      </c>
      <c r="E63" s="4">
        <v>78</v>
      </c>
      <c r="F63" s="6">
        <v>25.1</v>
      </c>
      <c r="G63" s="6">
        <v>149</v>
      </c>
      <c r="J63" s="6">
        <v>42.7</v>
      </c>
      <c r="K63" s="6">
        <v>54.7</v>
      </c>
    </row>
    <row r="64" spans="1:11" x14ac:dyDescent="0.25">
      <c r="A64" s="6">
        <v>21.259999999999998</v>
      </c>
      <c r="B64" s="6">
        <v>122</v>
      </c>
      <c r="E64" s="4">
        <v>118</v>
      </c>
      <c r="F64" s="6">
        <v>25.28</v>
      </c>
      <c r="G64" s="6">
        <v>108</v>
      </c>
      <c r="J64" s="6">
        <v>15.5</v>
      </c>
      <c r="K64" s="6">
        <v>27.3</v>
      </c>
    </row>
    <row r="65" spans="1:11" x14ac:dyDescent="0.25">
      <c r="A65" s="6">
        <v>13.5</v>
      </c>
      <c r="B65" s="6">
        <v>123</v>
      </c>
      <c r="E65" s="4">
        <v>157</v>
      </c>
      <c r="F65" s="6">
        <v>25.78</v>
      </c>
      <c r="G65" s="6">
        <v>173</v>
      </c>
      <c r="J65" s="6">
        <v>29.6</v>
      </c>
      <c r="K65" s="6">
        <v>8.4</v>
      </c>
    </row>
    <row r="66" spans="1:11" x14ac:dyDescent="0.25">
      <c r="A66" s="6">
        <v>15.12</v>
      </c>
      <c r="B66" s="6">
        <v>123</v>
      </c>
      <c r="E66" s="4">
        <v>14</v>
      </c>
      <c r="F66" s="6">
        <v>26.5</v>
      </c>
      <c r="G66" s="6">
        <v>113</v>
      </c>
      <c r="J66" s="6">
        <v>42.8</v>
      </c>
      <c r="K66" s="6">
        <v>28.9</v>
      </c>
    </row>
    <row r="67" spans="1:11" x14ac:dyDescent="0.25">
      <c r="A67" s="6">
        <v>31.060000000000002</v>
      </c>
      <c r="B67" s="6">
        <v>123</v>
      </c>
      <c r="E67" s="4">
        <v>108</v>
      </c>
      <c r="F67" s="6">
        <v>27.080000000000002</v>
      </c>
      <c r="G67" s="6">
        <v>104</v>
      </c>
      <c r="J67" s="6">
        <v>9.3000000000000007</v>
      </c>
      <c r="K67" s="6">
        <v>0.9</v>
      </c>
    </row>
    <row r="68" spans="1:11" x14ac:dyDescent="0.25">
      <c r="A68" s="6">
        <v>14.379999999999999</v>
      </c>
      <c r="B68" s="6">
        <v>124</v>
      </c>
      <c r="E68" s="4">
        <v>65</v>
      </c>
      <c r="F68" s="6">
        <v>27.22</v>
      </c>
      <c r="G68" s="6">
        <v>187</v>
      </c>
      <c r="J68" s="6">
        <v>24.6</v>
      </c>
      <c r="K68" s="6">
        <v>2.2000000000000002</v>
      </c>
    </row>
    <row r="69" spans="1:11" x14ac:dyDescent="0.25">
      <c r="A69" s="6">
        <v>14.66</v>
      </c>
      <c r="B69" s="6">
        <v>124</v>
      </c>
      <c r="E69" s="4">
        <v>64</v>
      </c>
      <c r="F69" s="6">
        <v>27.54</v>
      </c>
      <c r="G69" s="6">
        <v>298.75</v>
      </c>
      <c r="J69" s="6">
        <v>14.5</v>
      </c>
      <c r="K69" s="6">
        <v>10.199999999999999</v>
      </c>
    </row>
    <row r="70" spans="1:11" x14ac:dyDescent="0.25">
      <c r="A70" s="6">
        <v>52.7</v>
      </c>
      <c r="B70" s="6">
        <v>124</v>
      </c>
      <c r="E70" s="4">
        <v>89</v>
      </c>
      <c r="F70" s="6">
        <v>27.66</v>
      </c>
      <c r="G70" s="6">
        <v>147</v>
      </c>
      <c r="J70" s="6">
        <v>27.5</v>
      </c>
      <c r="K70" s="6">
        <v>11</v>
      </c>
    </row>
    <row r="71" spans="1:11" x14ac:dyDescent="0.25">
      <c r="A71" s="6">
        <v>45.8</v>
      </c>
      <c r="B71" s="6">
        <v>125</v>
      </c>
      <c r="E71" s="4">
        <v>197</v>
      </c>
      <c r="F71" s="6">
        <v>27.84</v>
      </c>
      <c r="G71" s="6">
        <v>116</v>
      </c>
      <c r="J71" s="6">
        <v>43.9</v>
      </c>
      <c r="K71" s="6">
        <v>27.2</v>
      </c>
    </row>
    <row r="72" spans="1:11" x14ac:dyDescent="0.25">
      <c r="A72" s="6">
        <v>31.2</v>
      </c>
      <c r="B72" s="6">
        <v>125</v>
      </c>
      <c r="E72" s="4">
        <v>100</v>
      </c>
      <c r="F72" s="6">
        <v>28.04</v>
      </c>
      <c r="G72" s="6">
        <v>183</v>
      </c>
      <c r="J72" s="6">
        <v>30.6</v>
      </c>
      <c r="K72" s="6">
        <v>38.700000000000003</v>
      </c>
    </row>
    <row r="73" spans="1:11" x14ac:dyDescent="0.25">
      <c r="A73" s="6">
        <v>92.987500000000011</v>
      </c>
      <c r="B73" s="6">
        <v>126</v>
      </c>
      <c r="E73" s="4">
        <v>88</v>
      </c>
      <c r="F73" s="6">
        <v>28.14</v>
      </c>
      <c r="G73" s="14">
        <v>180</v>
      </c>
      <c r="J73" s="6">
        <v>14.3</v>
      </c>
      <c r="K73" s="6">
        <v>31.7</v>
      </c>
    </row>
    <row r="74" spans="1:11" x14ac:dyDescent="0.25">
      <c r="A74" s="6">
        <v>18.440000000000001</v>
      </c>
      <c r="B74" s="6">
        <v>126</v>
      </c>
      <c r="E74" s="4">
        <v>165</v>
      </c>
      <c r="F74" s="6">
        <v>28.44</v>
      </c>
      <c r="G74" s="14">
        <v>132</v>
      </c>
      <c r="J74" s="6">
        <v>33</v>
      </c>
      <c r="K74" s="6">
        <v>19.3</v>
      </c>
    </row>
    <row r="75" spans="1:11" x14ac:dyDescent="0.25">
      <c r="A75" s="6">
        <v>14.84</v>
      </c>
      <c r="B75" s="6">
        <v>127</v>
      </c>
      <c r="E75" s="4">
        <v>74</v>
      </c>
      <c r="F75" s="6">
        <v>28.880000000000003</v>
      </c>
      <c r="G75" s="14">
        <v>117</v>
      </c>
      <c r="J75" s="6">
        <v>5.7</v>
      </c>
      <c r="K75" s="6">
        <v>31.3</v>
      </c>
    </row>
    <row r="76" spans="1:11" x14ac:dyDescent="0.25">
      <c r="A76" s="6">
        <v>48.480000000000004</v>
      </c>
      <c r="B76" s="6">
        <v>127</v>
      </c>
      <c r="E76" s="4">
        <v>144</v>
      </c>
      <c r="F76" s="6">
        <v>28.919999999999998</v>
      </c>
      <c r="G76" s="14">
        <v>140</v>
      </c>
      <c r="H76" s="15">
        <f>AVERAGE(G73:G79)</f>
        <v>140</v>
      </c>
      <c r="J76" s="6">
        <v>0</v>
      </c>
      <c r="K76" s="6">
        <v>13.1</v>
      </c>
    </row>
    <row r="77" spans="1:11" x14ac:dyDescent="0.25">
      <c r="A77" s="6">
        <v>29.240000000000002</v>
      </c>
      <c r="B77" s="6">
        <v>127</v>
      </c>
      <c r="E77" s="4">
        <v>52</v>
      </c>
      <c r="F77" s="6">
        <v>29.080000000000002</v>
      </c>
      <c r="G77" s="14">
        <v>112</v>
      </c>
      <c r="J77" s="6">
        <v>43.7</v>
      </c>
      <c r="K77" s="6">
        <v>89.4</v>
      </c>
    </row>
    <row r="78" spans="1:11" x14ac:dyDescent="0.25">
      <c r="A78" s="6">
        <v>53.480000000000004</v>
      </c>
      <c r="B78" s="6">
        <v>127</v>
      </c>
      <c r="E78" s="4">
        <v>119</v>
      </c>
      <c r="F78" s="6">
        <v>29.14</v>
      </c>
      <c r="G78" s="14">
        <v>172</v>
      </c>
      <c r="J78" s="6">
        <v>1.6</v>
      </c>
      <c r="K78" s="6">
        <v>20.7</v>
      </c>
    </row>
    <row r="79" spans="1:11" x14ac:dyDescent="0.25">
      <c r="A79" s="6">
        <v>151.96</v>
      </c>
      <c r="B79" s="6">
        <v>128</v>
      </c>
      <c r="E79" s="4">
        <v>145</v>
      </c>
      <c r="F79" s="6">
        <v>29.240000000000002</v>
      </c>
      <c r="G79" s="14">
        <v>127</v>
      </c>
      <c r="J79" s="6">
        <v>28.5</v>
      </c>
      <c r="K79" s="6">
        <v>14.2</v>
      </c>
    </row>
    <row r="80" spans="1:11" x14ac:dyDescent="0.25">
      <c r="A80" s="6">
        <v>18.059999999999999</v>
      </c>
      <c r="B80" s="6">
        <v>128</v>
      </c>
      <c r="E80" s="4">
        <v>72</v>
      </c>
      <c r="F80" s="6">
        <v>29.96</v>
      </c>
      <c r="G80" s="6">
        <v>129</v>
      </c>
      <c r="J80" s="6">
        <v>29.9</v>
      </c>
      <c r="K80" s="6">
        <v>9.4</v>
      </c>
    </row>
    <row r="81" spans="1:11" x14ac:dyDescent="0.25">
      <c r="A81" s="6">
        <v>62.14</v>
      </c>
      <c r="B81" s="6">
        <v>129</v>
      </c>
      <c r="E81" s="4">
        <v>95</v>
      </c>
      <c r="F81" s="6">
        <v>30.48</v>
      </c>
      <c r="G81" s="6">
        <v>117</v>
      </c>
      <c r="J81" s="6">
        <v>7.7</v>
      </c>
      <c r="K81" s="6">
        <v>23.1</v>
      </c>
    </row>
    <row r="82" spans="1:11" x14ac:dyDescent="0.25">
      <c r="A82" s="6">
        <v>29.96</v>
      </c>
      <c r="B82" s="6">
        <v>129</v>
      </c>
      <c r="E82" s="4">
        <v>68</v>
      </c>
      <c r="F82" s="6">
        <v>30.860000000000003</v>
      </c>
      <c r="G82" s="6">
        <v>135</v>
      </c>
      <c r="J82" s="6">
        <v>26.7</v>
      </c>
      <c r="K82" s="6">
        <v>22.3</v>
      </c>
    </row>
    <row r="83" spans="1:11" x14ac:dyDescent="0.25">
      <c r="A83" s="6">
        <v>37.839999999999996</v>
      </c>
      <c r="B83" s="6">
        <v>129</v>
      </c>
      <c r="E83" s="4">
        <v>8</v>
      </c>
      <c r="F83" s="6">
        <v>31.04</v>
      </c>
      <c r="G83" s="6">
        <v>152</v>
      </c>
      <c r="J83" s="6">
        <v>4.0999999999999996</v>
      </c>
      <c r="K83" s="6">
        <v>36.9</v>
      </c>
    </row>
    <row r="84" spans="1:11" x14ac:dyDescent="0.25">
      <c r="A84" s="6">
        <v>48.36</v>
      </c>
      <c r="B84" s="6">
        <v>129</v>
      </c>
      <c r="E84" s="4">
        <v>146</v>
      </c>
      <c r="F84" s="6">
        <v>31.060000000000002</v>
      </c>
      <c r="G84" s="6">
        <v>123</v>
      </c>
      <c r="J84" s="6">
        <v>20.3</v>
      </c>
      <c r="K84" s="6">
        <v>32.5</v>
      </c>
    </row>
    <row r="85" spans="1:11" x14ac:dyDescent="0.25">
      <c r="A85" s="6">
        <v>36.68</v>
      </c>
      <c r="B85" s="6">
        <v>129</v>
      </c>
      <c r="E85" s="4">
        <v>80</v>
      </c>
      <c r="F85" s="6">
        <v>31.2</v>
      </c>
      <c r="G85" s="6">
        <v>120</v>
      </c>
      <c r="J85" s="6">
        <v>44.5</v>
      </c>
      <c r="K85" s="6">
        <v>35.6</v>
      </c>
    </row>
    <row r="86" spans="1:11" x14ac:dyDescent="0.25">
      <c r="A86" s="6">
        <v>56.9</v>
      </c>
      <c r="B86" s="6">
        <v>131</v>
      </c>
      <c r="E86" s="4">
        <v>152</v>
      </c>
      <c r="F86" s="6">
        <v>31.2</v>
      </c>
      <c r="G86" s="6">
        <v>125</v>
      </c>
      <c r="J86" s="6">
        <v>43</v>
      </c>
      <c r="K86" s="6">
        <v>33.799999999999997</v>
      </c>
    </row>
    <row r="87" spans="1:11" x14ac:dyDescent="0.25">
      <c r="A87" s="6">
        <v>40.04</v>
      </c>
      <c r="B87" s="6">
        <v>131</v>
      </c>
      <c r="E87" s="4">
        <v>4</v>
      </c>
      <c r="F87" s="6">
        <v>31.3</v>
      </c>
      <c r="G87" s="6">
        <v>197</v>
      </c>
      <c r="J87" s="6">
        <v>18.399999999999999</v>
      </c>
      <c r="K87" s="6">
        <v>65.7</v>
      </c>
    </row>
    <row r="88" spans="1:11" x14ac:dyDescent="0.25">
      <c r="A88" s="6">
        <v>63.339999999999996</v>
      </c>
      <c r="B88" s="6">
        <v>131</v>
      </c>
      <c r="E88" s="4">
        <v>91</v>
      </c>
      <c r="F88" s="6">
        <v>31.860000000000003</v>
      </c>
      <c r="G88" s="6">
        <v>93</v>
      </c>
      <c r="J88" s="6">
        <v>27.5</v>
      </c>
      <c r="K88" s="6">
        <v>16</v>
      </c>
    </row>
    <row r="89" spans="1:11" x14ac:dyDescent="0.25">
      <c r="A89" s="6">
        <v>46.519999999999996</v>
      </c>
      <c r="B89" s="6">
        <v>132</v>
      </c>
      <c r="E89" s="4">
        <v>160</v>
      </c>
      <c r="F89" s="6">
        <v>32.339999999999996</v>
      </c>
      <c r="G89" s="6">
        <v>138</v>
      </c>
      <c r="J89" s="6">
        <v>40.6</v>
      </c>
      <c r="K89" s="6">
        <v>63.2</v>
      </c>
    </row>
    <row r="90" spans="1:11" x14ac:dyDescent="0.25">
      <c r="A90" s="6">
        <v>28.44</v>
      </c>
      <c r="B90" s="6">
        <v>132</v>
      </c>
      <c r="E90" s="4">
        <v>20</v>
      </c>
      <c r="F90" s="6">
        <v>32.46</v>
      </c>
      <c r="G90" s="6">
        <v>148</v>
      </c>
      <c r="J90" s="6">
        <v>225.5</v>
      </c>
      <c r="K90" s="6">
        <v>73.400000000000006</v>
      </c>
    </row>
    <row r="91" spans="1:11" x14ac:dyDescent="0.25">
      <c r="A91" s="6">
        <v>33.239999999999995</v>
      </c>
      <c r="B91" s="6">
        <v>133</v>
      </c>
      <c r="E91" s="4">
        <v>195</v>
      </c>
      <c r="F91" s="6">
        <v>32.94</v>
      </c>
      <c r="G91" s="6">
        <v>184</v>
      </c>
      <c r="J91" s="6">
        <v>47.8</v>
      </c>
      <c r="K91" s="6">
        <v>51.4</v>
      </c>
    </row>
    <row r="92" spans="1:11" x14ac:dyDescent="0.25">
      <c r="A92" s="6">
        <v>24.02</v>
      </c>
      <c r="B92" s="6">
        <v>133</v>
      </c>
      <c r="E92" s="4">
        <v>58</v>
      </c>
      <c r="F92" s="6">
        <v>33.239999999999995</v>
      </c>
      <c r="G92" s="6">
        <v>133</v>
      </c>
      <c r="J92" s="6">
        <v>4.9000000000000004</v>
      </c>
      <c r="K92" s="6">
        <v>9.3000000000000007</v>
      </c>
    </row>
    <row r="93" spans="1:11" x14ac:dyDescent="0.25">
      <c r="A93" s="6">
        <v>89.06</v>
      </c>
      <c r="B93" s="6">
        <v>135</v>
      </c>
      <c r="E93" s="4">
        <v>124</v>
      </c>
      <c r="F93" s="6">
        <v>33.619999999999997</v>
      </c>
      <c r="G93" s="6">
        <v>171</v>
      </c>
      <c r="J93" s="6">
        <v>1.5</v>
      </c>
      <c r="K93" s="6">
        <v>33</v>
      </c>
    </row>
    <row r="94" spans="1:11" x14ac:dyDescent="0.25">
      <c r="A94" s="6">
        <v>30.860000000000003</v>
      </c>
      <c r="B94" s="6">
        <v>135</v>
      </c>
      <c r="E94" s="4">
        <v>164</v>
      </c>
      <c r="F94" s="6">
        <v>33.700000000000003</v>
      </c>
      <c r="G94" s="6">
        <v>193</v>
      </c>
      <c r="J94" s="6">
        <v>33.5</v>
      </c>
      <c r="K94" s="6">
        <v>59</v>
      </c>
    </row>
    <row r="95" spans="1:11" x14ac:dyDescent="0.25">
      <c r="A95" s="6">
        <v>41.12</v>
      </c>
      <c r="B95" s="6">
        <v>135</v>
      </c>
      <c r="E95" s="4">
        <v>187</v>
      </c>
      <c r="F95" s="6">
        <v>35.9</v>
      </c>
      <c r="G95" s="6">
        <v>108</v>
      </c>
      <c r="J95" s="6">
        <v>36.5</v>
      </c>
      <c r="K95" s="6">
        <v>72.3</v>
      </c>
    </row>
    <row r="96" spans="1:11" x14ac:dyDescent="0.25">
      <c r="A96" s="6">
        <v>46.160000000000004</v>
      </c>
      <c r="B96" s="6">
        <v>137</v>
      </c>
      <c r="E96" s="4">
        <v>121</v>
      </c>
      <c r="F96" s="6">
        <v>36.260000000000005</v>
      </c>
      <c r="G96" s="6">
        <v>163</v>
      </c>
      <c r="J96" s="6">
        <v>14</v>
      </c>
      <c r="K96" s="6">
        <v>10.9</v>
      </c>
    </row>
    <row r="97" spans="1:11" x14ac:dyDescent="0.25">
      <c r="A97" s="6">
        <v>51.480000000000004</v>
      </c>
      <c r="B97" s="6">
        <v>137</v>
      </c>
      <c r="E97" s="4">
        <v>181</v>
      </c>
      <c r="F97" s="6">
        <v>36.32</v>
      </c>
      <c r="G97" s="6">
        <v>108</v>
      </c>
      <c r="J97" s="6">
        <v>31.6</v>
      </c>
      <c r="K97" s="6">
        <v>52.9</v>
      </c>
    </row>
    <row r="98" spans="1:11" x14ac:dyDescent="0.25">
      <c r="A98" s="6">
        <v>32.339999999999996</v>
      </c>
      <c r="B98" s="6">
        <v>138</v>
      </c>
      <c r="E98" s="4">
        <v>174</v>
      </c>
      <c r="F98" s="6">
        <v>36.68</v>
      </c>
      <c r="G98" s="6">
        <v>129</v>
      </c>
      <c r="J98" s="6">
        <v>3.5</v>
      </c>
      <c r="K98" s="6">
        <v>5.9</v>
      </c>
    </row>
    <row r="99" spans="1:11" x14ac:dyDescent="0.25">
      <c r="A99" s="6">
        <v>59.58</v>
      </c>
      <c r="B99" s="6">
        <v>139</v>
      </c>
      <c r="E99" s="4">
        <v>154</v>
      </c>
      <c r="F99" s="6">
        <v>37.260000000000005</v>
      </c>
      <c r="G99" s="6">
        <v>208</v>
      </c>
      <c r="J99" s="6">
        <v>21</v>
      </c>
      <c r="K99" s="6">
        <v>22</v>
      </c>
    </row>
    <row r="100" spans="1:11" x14ac:dyDescent="0.25">
      <c r="A100" s="6">
        <v>44.4</v>
      </c>
      <c r="B100" s="6">
        <v>139</v>
      </c>
      <c r="E100" s="4">
        <v>106</v>
      </c>
      <c r="F100" s="6">
        <v>37.58</v>
      </c>
      <c r="G100" s="6">
        <v>196</v>
      </c>
      <c r="J100" s="6">
        <v>42.3</v>
      </c>
      <c r="K100" s="6">
        <v>51.2</v>
      </c>
    </row>
    <row r="101" spans="1:11" x14ac:dyDescent="0.25">
      <c r="A101" s="6">
        <v>52.42</v>
      </c>
      <c r="B101" s="6">
        <v>139</v>
      </c>
      <c r="E101" s="4">
        <v>117</v>
      </c>
      <c r="F101" s="6">
        <v>37.839999999999996</v>
      </c>
      <c r="G101" s="6">
        <v>129</v>
      </c>
      <c r="J101" s="6">
        <v>41.7</v>
      </c>
      <c r="K101" s="6">
        <v>45.9</v>
      </c>
    </row>
    <row r="102" spans="1:11" x14ac:dyDescent="0.25">
      <c r="A102" s="6">
        <v>55.019999999999996</v>
      </c>
      <c r="B102" s="6">
        <v>142</v>
      </c>
      <c r="E102" s="4">
        <v>104</v>
      </c>
      <c r="F102" s="6">
        <v>38.58</v>
      </c>
      <c r="G102" s="6">
        <v>163</v>
      </c>
      <c r="J102" s="6">
        <v>4.3</v>
      </c>
      <c r="K102" s="6">
        <v>49.8</v>
      </c>
    </row>
    <row r="103" spans="1:11" x14ac:dyDescent="0.25">
      <c r="A103" s="6">
        <v>27.66</v>
      </c>
      <c r="B103" s="6">
        <v>147</v>
      </c>
      <c r="E103" s="4">
        <v>27</v>
      </c>
      <c r="F103" s="6">
        <v>38.58</v>
      </c>
      <c r="G103" s="6">
        <v>167</v>
      </c>
      <c r="J103" s="6">
        <v>36.299999999999997</v>
      </c>
      <c r="K103" s="6">
        <v>93.625</v>
      </c>
    </row>
    <row r="104" spans="1:11" x14ac:dyDescent="0.25">
      <c r="A104" s="6">
        <v>55.04</v>
      </c>
      <c r="B104" s="6">
        <v>147</v>
      </c>
      <c r="E104" s="4">
        <v>113</v>
      </c>
      <c r="F104" s="6">
        <v>39.14</v>
      </c>
      <c r="G104" s="6">
        <v>159</v>
      </c>
      <c r="J104" s="6">
        <v>10.1</v>
      </c>
      <c r="K104" s="6">
        <v>21.4</v>
      </c>
    </row>
    <row r="105" spans="1:11" x14ac:dyDescent="0.25">
      <c r="A105" s="6">
        <v>32.46</v>
      </c>
      <c r="B105" s="6">
        <v>148</v>
      </c>
      <c r="E105" s="4">
        <v>158</v>
      </c>
      <c r="F105" s="6">
        <v>39.96</v>
      </c>
      <c r="G105" s="6">
        <v>111</v>
      </c>
      <c r="J105" s="6">
        <v>17.2</v>
      </c>
      <c r="K105" s="6">
        <v>17.899999999999999</v>
      </c>
    </row>
    <row r="106" spans="1:11" x14ac:dyDescent="0.25">
      <c r="A106" s="6">
        <v>51.38</v>
      </c>
      <c r="B106" s="6">
        <v>149</v>
      </c>
      <c r="E106" s="4">
        <v>178</v>
      </c>
      <c r="F106" s="6">
        <v>40.04</v>
      </c>
      <c r="G106" s="6">
        <v>131</v>
      </c>
      <c r="J106" s="6">
        <v>34.299999999999997</v>
      </c>
      <c r="K106" s="6">
        <v>5.3</v>
      </c>
    </row>
    <row r="107" spans="1:11" x14ac:dyDescent="0.25">
      <c r="A107" s="6">
        <v>46.44</v>
      </c>
      <c r="B107" s="6">
        <v>149</v>
      </c>
      <c r="E107" s="4">
        <v>42</v>
      </c>
      <c r="F107" s="6">
        <v>40.4</v>
      </c>
      <c r="G107" s="6">
        <v>186</v>
      </c>
      <c r="J107" s="6">
        <v>46.4</v>
      </c>
      <c r="K107" s="6">
        <v>59</v>
      </c>
    </row>
    <row r="108" spans="1:11" x14ac:dyDescent="0.25">
      <c r="A108" s="6">
        <v>25.1</v>
      </c>
      <c r="B108" s="6">
        <v>149</v>
      </c>
      <c r="E108" s="4">
        <v>153</v>
      </c>
      <c r="F108" s="6">
        <v>40.519999999999996</v>
      </c>
      <c r="G108" s="6">
        <v>169</v>
      </c>
      <c r="J108" s="6">
        <v>11</v>
      </c>
      <c r="K108" s="6">
        <v>29.7</v>
      </c>
    </row>
    <row r="109" spans="1:11" x14ac:dyDescent="0.25">
      <c r="A109" s="6">
        <v>22.68</v>
      </c>
      <c r="B109" s="6">
        <v>149</v>
      </c>
      <c r="E109" s="4">
        <v>96</v>
      </c>
      <c r="F109" s="6">
        <v>40.660000000000004</v>
      </c>
      <c r="G109" s="6">
        <v>175</v>
      </c>
      <c r="J109" s="6">
        <v>0.3</v>
      </c>
      <c r="K109" s="6">
        <v>23.2</v>
      </c>
    </row>
    <row r="110" spans="1:11" x14ac:dyDescent="0.25">
      <c r="A110" s="6">
        <v>54.160000000000004</v>
      </c>
      <c r="B110" s="6">
        <v>150</v>
      </c>
      <c r="E110" s="4">
        <v>56</v>
      </c>
      <c r="F110" s="6">
        <v>40.78</v>
      </c>
      <c r="G110" s="6">
        <v>240</v>
      </c>
      <c r="J110" s="6">
        <v>0.4</v>
      </c>
      <c r="K110" s="6">
        <v>25.6</v>
      </c>
    </row>
    <row r="111" spans="1:11" x14ac:dyDescent="0.25">
      <c r="A111" s="6">
        <v>19.14</v>
      </c>
      <c r="B111" s="6">
        <v>151</v>
      </c>
      <c r="E111" s="4">
        <v>10</v>
      </c>
      <c r="F111" s="6">
        <v>40.96</v>
      </c>
      <c r="G111" s="6">
        <v>119</v>
      </c>
      <c r="J111" s="6">
        <v>26.9</v>
      </c>
      <c r="K111" s="6">
        <v>5.5</v>
      </c>
    </row>
    <row r="112" spans="1:11" x14ac:dyDescent="0.25">
      <c r="A112" s="6">
        <v>50.94</v>
      </c>
      <c r="B112" s="6">
        <v>151.5</v>
      </c>
      <c r="E112" s="4">
        <v>180</v>
      </c>
      <c r="F112" s="6">
        <v>41.12</v>
      </c>
      <c r="G112" s="6">
        <v>135</v>
      </c>
      <c r="J112" s="6">
        <v>8.1999999999999993</v>
      </c>
      <c r="K112" s="6">
        <v>56.5</v>
      </c>
    </row>
    <row r="113" spans="1:11" x14ac:dyDescent="0.25">
      <c r="A113" s="6">
        <v>31.04</v>
      </c>
      <c r="B113" s="6">
        <v>152</v>
      </c>
      <c r="E113" s="4">
        <v>188</v>
      </c>
      <c r="F113" s="6">
        <v>41.22</v>
      </c>
      <c r="G113" s="6">
        <v>186</v>
      </c>
      <c r="J113" s="6">
        <v>38</v>
      </c>
      <c r="K113" s="6">
        <v>23.2</v>
      </c>
    </row>
    <row r="114" spans="1:11" x14ac:dyDescent="0.25">
      <c r="A114" s="6">
        <v>24.94</v>
      </c>
      <c r="B114" s="6">
        <v>152</v>
      </c>
      <c r="E114" s="4">
        <v>194</v>
      </c>
      <c r="F114" s="6">
        <v>41.36</v>
      </c>
      <c r="G114" s="6">
        <v>204</v>
      </c>
      <c r="J114" s="6">
        <v>15.4</v>
      </c>
      <c r="K114" s="6">
        <v>2.4</v>
      </c>
    </row>
    <row r="115" spans="1:11" x14ac:dyDescent="0.25">
      <c r="A115" s="6">
        <v>18.64</v>
      </c>
      <c r="B115" s="6">
        <v>152</v>
      </c>
      <c r="E115" s="4">
        <v>54</v>
      </c>
      <c r="F115" s="6">
        <v>41.519999999999996</v>
      </c>
      <c r="G115" s="6">
        <v>225</v>
      </c>
      <c r="J115" s="6">
        <v>20.6</v>
      </c>
      <c r="K115" s="6">
        <v>10.7</v>
      </c>
    </row>
    <row r="116" spans="1:11" x14ac:dyDescent="0.25">
      <c r="A116" s="6">
        <v>64.039999999999992</v>
      </c>
      <c r="B116" s="6">
        <v>158</v>
      </c>
      <c r="E116" s="4">
        <v>98</v>
      </c>
      <c r="F116" s="6">
        <v>41.980000000000004</v>
      </c>
      <c r="G116" s="6">
        <v>168</v>
      </c>
      <c r="J116" s="6">
        <v>46.8</v>
      </c>
      <c r="K116" s="6">
        <v>34.5</v>
      </c>
    </row>
    <row r="117" spans="1:11" x14ac:dyDescent="0.25">
      <c r="A117" s="6">
        <v>42.64</v>
      </c>
      <c r="B117" s="6">
        <v>159</v>
      </c>
      <c r="E117" s="4">
        <v>46</v>
      </c>
      <c r="F117" s="6">
        <v>42.019999999999996</v>
      </c>
      <c r="G117" s="6">
        <v>165</v>
      </c>
      <c r="J117" s="6">
        <v>35</v>
      </c>
      <c r="K117" s="6">
        <v>52.7</v>
      </c>
    </row>
    <row r="118" spans="1:11" x14ac:dyDescent="0.25">
      <c r="A118" s="6">
        <v>39.14</v>
      </c>
      <c r="B118" s="6">
        <v>159</v>
      </c>
      <c r="E118" s="4">
        <v>16</v>
      </c>
      <c r="F118" s="6">
        <v>42.08</v>
      </c>
      <c r="G118" s="6">
        <v>240</v>
      </c>
      <c r="J118" s="6">
        <v>14.3</v>
      </c>
      <c r="K118" s="6">
        <v>25.6</v>
      </c>
    </row>
    <row r="119" spans="1:11" x14ac:dyDescent="0.25">
      <c r="A119" s="6">
        <v>44.5</v>
      </c>
      <c r="B119" s="6">
        <v>159</v>
      </c>
      <c r="E119" s="4">
        <v>86</v>
      </c>
      <c r="F119" s="6">
        <v>42.64</v>
      </c>
      <c r="G119" s="6">
        <v>159</v>
      </c>
      <c r="J119" s="6">
        <v>0.8</v>
      </c>
      <c r="K119" s="6">
        <v>14.8</v>
      </c>
    </row>
    <row r="120" spans="1:11" x14ac:dyDescent="0.25">
      <c r="A120" s="6">
        <v>60.86</v>
      </c>
      <c r="B120" s="6">
        <v>162</v>
      </c>
      <c r="E120" s="4">
        <v>163</v>
      </c>
      <c r="F120" s="6">
        <v>42.68</v>
      </c>
      <c r="G120" s="6">
        <v>168</v>
      </c>
      <c r="J120" s="6">
        <v>36.9</v>
      </c>
      <c r="K120" s="6">
        <v>79.2</v>
      </c>
    </row>
    <row r="121" spans="1:11" x14ac:dyDescent="0.25">
      <c r="A121" s="6">
        <v>38.58</v>
      </c>
      <c r="B121" s="6">
        <v>163</v>
      </c>
      <c r="E121" s="4">
        <v>172</v>
      </c>
      <c r="F121" s="6">
        <v>42.9</v>
      </c>
      <c r="G121" s="6">
        <v>163</v>
      </c>
      <c r="J121" s="6">
        <v>16</v>
      </c>
      <c r="K121" s="6">
        <v>22.3</v>
      </c>
    </row>
    <row r="122" spans="1:11" x14ac:dyDescent="0.25">
      <c r="A122" s="6">
        <v>36.260000000000005</v>
      </c>
      <c r="B122" s="6">
        <v>163</v>
      </c>
      <c r="E122" s="4">
        <v>155</v>
      </c>
      <c r="F122" s="6">
        <v>43.56</v>
      </c>
      <c r="G122" s="6">
        <v>166</v>
      </c>
      <c r="J122" s="6">
        <v>26.8</v>
      </c>
      <c r="K122" s="6">
        <v>46.2</v>
      </c>
    </row>
    <row r="123" spans="1:11" x14ac:dyDescent="0.25">
      <c r="A123" s="6">
        <v>42.9</v>
      </c>
      <c r="B123" s="6">
        <v>163</v>
      </c>
      <c r="E123" s="4">
        <v>51</v>
      </c>
      <c r="F123" s="6">
        <v>43.96</v>
      </c>
      <c r="G123" s="6">
        <v>122</v>
      </c>
      <c r="J123" s="6">
        <v>21.7</v>
      </c>
      <c r="K123" s="6">
        <v>50.4</v>
      </c>
    </row>
    <row r="124" spans="1:11" x14ac:dyDescent="0.25">
      <c r="A124" s="6">
        <v>42.019999999999996</v>
      </c>
      <c r="B124" s="6">
        <v>165</v>
      </c>
      <c r="E124" s="4">
        <v>53</v>
      </c>
      <c r="F124" s="6">
        <v>44.28</v>
      </c>
      <c r="G124" s="6">
        <v>235</v>
      </c>
      <c r="J124" s="6">
        <v>2.4</v>
      </c>
      <c r="K124" s="6">
        <v>15.6</v>
      </c>
    </row>
    <row r="125" spans="1:11" x14ac:dyDescent="0.25">
      <c r="A125" s="6">
        <v>66.14</v>
      </c>
      <c r="B125" s="6">
        <v>166</v>
      </c>
      <c r="E125" s="4">
        <v>198</v>
      </c>
      <c r="F125" s="6">
        <v>44.4</v>
      </c>
      <c r="G125" s="6">
        <v>139</v>
      </c>
      <c r="J125" s="6">
        <v>34.6</v>
      </c>
      <c r="K125" s="6">
        <v>12.4</v>
      </c>
    </row>
    <row r="126" spans="1:11" x14ac:dyDescent="0.25">
      <c r="A126" s="6">
        <v>43.56</v>
      </c>
      <c r="B126" s="6">
        <v>166</v>
      </c>
      <c r="E126" s="4">
        <v>161</v>
      </c>
      <c r="F126" s="6">
        <v>44.5</v>
      </c>
      <c r="G126" s="6">
        <v>159</v>
      </c>
      <c r="J126" s="6">
        <v>32.299999999999997</v>
      </c>
      <c r="K126" s="6">
        <v>74.2</v>
      </c>
    </row>
    <row r="127" spans="1:11" x14ac:dyDescent="0.25">
      <c r="A127" s="6">
        <v>38.58</v>
      </c>
      <c r="B127" s="6">
        <v>167</v>
      </c>
      <c r="E127" s="4">
        <v>15</v>
      </c>
      <c r="F127" s="6">
        <v>44.82</v>
      </c>
      <c r="G127" s="6">
        <v>191</v>
      </c>
      <c r="J127" s="6">
        <v>11.8</v>
      </c>
      <c r="K127" s="6">
        <v>25.9</v>
      </c>
    </row>
    <row r="128" spans="1:11" x14ac:dyDescent="0.25">
      <c r="A128" s="6">
        <v>44.92</v>
      </c>
      <c r="B128" s="6">
        <v>167</v>
      </c>
      <c r="E128" s="4">
        <v>71</v>
      </c>
      <c r="F128" s="6">
        <v>44.82</v>
      </c>
      <c r="G128" s="6">
        <v>196</v>
      </c>
      <c r="J128" s="6">
        <v>38.9</v>
      </c>
      <c r="K128" s="6">
        <v>50.6</v>
      </c>
    </row>
    <row r="129" spans="1:11" x14ac:dyDescent="0.25">
      <c r="A129" s="6">
        <v>59.2</v>
      </c>
      <c r="B129" s="6">
        <v>167</v>
      </c>
      <c r="E129" s="4">
        <v>114</v>
      </c>
      <c r="F129" s="6">
        <v>44.92</v>
      </c>
      <c r="G129" s="6">
        <v>167</v>
      </c>
      <c r="J129" s="6"/>
      <c r="K129" s="6">
        <v>9.1999999999999993</v>
      </c>
    </row>
    <row r="130" spans="1:11" x14ac:dyDescent="0.25">
      <c r="A130" s="6">
        <v>49.019999999999996</v>
      </c>
      <c r="B130" s="6">
        <v>168</v>
      </c>
      <c r="E130" s="4">
        <v>169</v>
      </c>
      <c r="F130" s="6">
        <v>45.08</v>
      </c>
      <c r="G130" s="6">
        <v>185</v>
      </c>
      <c r="J130" s="6">
        <v>49</v>
      </c>
      <c r="K130" s="6">
        <v>3.2</v>
      </c>
    </row>
    <row r="131" spans="1:11" x14ac:dyDescent="0.25">
      <c r="A131" s="6">
        <v>41.980000000000004</v>
      </c>
      <c r="B131" s="6">
        <v>168</v>
      </c>
      <c r="E131" s="4">
        <v>41</v>
      </c>
      <c r="F131" s="6">
        <v>45.5</v>
      </c>
      <c r="G131" s="14">
        <v>179</v>
      </c>
      <c r="J131" s="6">
        <v>12</v>
      </c>
      <c r="K131" s="6">
        <v>43.1</v>
      </c>
    </row>
    <row r="132" spans="1:11" x14ac:dyDescent="0.25">
      <c r="A132" s="6">
        <v>42.68</v>
      </c>
      <c r="B132" s="6">
        <v>168</v>
      </c>
      <c r="E132" s="4">
        <v>85</v>
      </c>
      <c r="F132" s="6">
        <v>45.7</v>
      </c>
      <c r="G132" s="14">
        <v>223</v>
      </c>
      <c r="J132" s="6">
        <v>39.6</v>
      </c>
      <c r="K132" s="6">
        <v>8.6999999999999993</v>
      </c>
    </row>
    <row r="133" spans="1:11" x14ac:dyDescent="0.25">
      <c r="A133" s="6">
        <v>40.519999999999996</v>
      </c>
      <c r="B133" s="6">
        <v>169</v>
      </c>
      <c r="E133" s="4">
        <v>123</v>
      </c>
      <c r="F133" s="6">
        <v>45.8</v>
      </c>
      <c r="G133" s="14">
        <v>125</v>
      </c>
      <c r="J133" s="6">
        <v>2.9</v>
      </c>
      <c r="K133" s="6">
        <v>43</v>
      </c>
    </row>
    <row r="134" spans="1:11" x14ac:dyDescent="0.25">
      <c r="A134" s="6">
        <v>53.86</v>
      </c>
      <c r="B134" s="6">
        <v>170</v>
      </c>
      <c r="E134" s="4">
        <v>134</v>
      </c>
      <c r="F134" s="6">
        <v>45.96</v>
      </c>
      <c r="G134" s="14">
        <v>174</v>
      </c>
      <c r="H134" s="15">
        <f>AVERAGE(G131:G137)</f>
        <v>173.57142857142858</v>
      </c>
      <c r="J134" s="6">
        <v>27.2</v>
      </c>
      <c r="K134" s="6">
        <v>2.1</v>
      </c>
    </row>
    <row r="135" spans="1:11" x14ac:dyDescent="0.25">
      <c r="A135" s="6">
        <v>33.619999999999997</v>
      </c>
      <c r="B135" s="6">
        <v>171</v>
      </c>
      <c r="E135" s="4">
        <v>186</v>
      </c>
      <c r="F135" s="6">
        <v>46</v>
      </c>
      <c r="G135" s="14">
        <v>228</v>
      </c>
      <c r="J135" s="6">
        <v>33.5</v>
      </c>
      <c r="K135" s="6">
        <v>45.1</v>
      </c>
    </row>
    <row r="136" spans="1:11" x14ac:dyDescent="0.25">
      <c r="A136" s="6">
        <v>29.14</v>
      </c>
      <c r="B136" s="6">
        <v>172</v>
      </c>
      <c r="E136" s="4">
        <v>5</v>
      </c>
      <c r="F136" s="6">
        <v>46.160000000000004</v>
      </c>
      <c r="G136" s="14">
        <v>137</v>
      </c>
      <c r="J136" s="6">
        <v>38.6</v>
      </c>
      <c r="K136" s="6">
        <v>65.599999999999994</v>
      </c>
    </row>
    <row r="137" spans="1:11" x14ac:dyDescent="0.25">
      <c r="A137" s="6">
        <v>25.78</v>
      </c>
      <c r="B137" s="6">
        <v>173</v>
      </c>
      <c r="E137" s="4">
        <v>49</v>
      </c>
      <c r="F137" s="6">
        <v>46.44</v>
      </c>
      <c r="G137" s="14">
        <v>149</v>
      </c>
      <c r="J137" s="6">
        <v>47</v>
      </c>
      <c r="K137" s="6">
        <v>8.5</v>
      </c>
    </row>
    <row r="138" spans="1:11" x14ac:dyDescent="0.25">
      <c r="A138" s="6">
        <v>49.660000000000004</v>
      </c>
      <c r="B138" s="6">
        <v>175</v>
      </c>
      <c r="E138" s="4">
        <v>97</v>
      </c>
      <c r="F138" s="6">
        <v>46.519999999999996</v>
      </c>
      <c r="G138" s="6">
        <v>132</v>
      </c>
      <c r="J138" s="6">
        <v>39</v>
      </c>
      <c r="K138" s="6">
        <v>9.3000000000000007</v>
      </c>
    </row>
    <row r="139" spans="1:11" x14ac:dyDescent="0.25">
      <c r="A139" s="6">
        <v>40.660000000000004</v>
      </c>
      <c r="B139" s="6">
        <v>175</v>
      </c>
      <c r="E139" s="4">
        <v>21</v>
      </c>
      <c r="F139" s="6">
        <v>46.68</v>
      </c>
      <c r="G139" s="6">
        <v>188</v>
      </c>
      <c r="J139" s="6">
        <v>28.9</v>
      </c>
      <c r="K139" s="6">
        <v>59.7</v>
      </c>
    </row>
    <row r="140" spans="1:11" x14ac:dyDescent="0.25">
      <c r="A140" s="6">
        <v>23.96</v>
      </c>
      <c r="B140" s="6">
        <v>177</v>
      </c>
      <c r="E140" s="4">
        <v>93</v>
      </c>
      <c r="F140" s="6">
        <v>47.54</v>
      </c>
      <c r="G140" s="6">
        <v>811</v>
      </c>
      <c r="J140" s="6">
        <v>25.9</v>
      </c>
      <c r="K140" s="6">
        <v>20.5</v>
      </c>
    </row>
    <row r="141" spans="1:11" x14ac:dyDescent="0.25">
      <c r="A141" s="6">
        <v>45.5</v>
      </c>
      <c r="B141" s="6">
        <v>179</v>
      </c>
      <c r="E141" s="4">
        <v>168</v>
      </c>
      <c r="F141" s="6">
        <v>48.36</v>
      </c>
      <c r="G141" s="6">
        <v>129</v>
      </c>
      <c r="J141" s="6">
        <v>43.9</v>
      </c>
      <c r="K141" s="6">
        <v>1.7</v>
      </c>
    </row>
    <row r="142" spans="1:11" x14ac:dyDescent="0.25">
      <c r="A142" s="6">
        <v>28.14</v>
      </c>
      <c r="B142" s="6">
        <v>180</v>
      </c>
      <c r="E142" s="4">
        <v>70</v>
      </c>
      <c r="F142" s="6">
        <v>48.36</v>
      </c>
      <c r="G142" s="6">
        <v>229</v>
      </c>
      <c r="J142" s="6">
        <v>17</v>
      </c>
      <c r="K142" s="6">
        <v>12.9</v>
      </c>
    </row>
    <row r="143" spans="1:11" x14ac:dyDescent="0.25">
      <c r="A143" s="6">
        <v>28.04</v>
      </c>
      <c r="B143" s="6">
        <v>183</v>
      </c>
      <c r="E143" s="4">
        <v>22</v>
      </c>
      <c r="F143" s="6">
        <v>48.480000000000004</v>
      </c>
      <c r="G143" s="6">
        <v>127</v>
      </c>
      <c r="J143" s="6">
        <v>35.4</v>
      </c>
      <c r="K143" s="6">
        <v>75.599999999999994</v>
      </c>
    </row>
    <row r="144" spans="1:11" x14ac:dyDescent="0.25">
      <c r="A144" s="6">
        <v>61.120000000000005</v>
      </c>
      <c r="B144" s="6">
        <v>184</v>
      </c>
      <c r="E144" s="4">
        <v>142</v>
      </c>
      <c r="F144" s="6">
        <v>49</v>
      </c>
      <c r="G144" s="6">
        <v>207</v>
      </c>
      <c r="J144" s="6">
        <v>33.200000000000003</v>
      </c>
      <c r="K144" s="6">
        <v>37.9</v>
      </c>
    </row>
    <row r="145" spans="1:11" x14ac:dyDescent="0.25">
      <c r="A145" s="6">
        <v>32.94</v>
      </c>
      <c r="B145" s="6">
        <v>184</v>
      </c>
      <c r="E145" s="4">
        <v>28</v>
      </c>
      <c r="F145" s="6">
        <v>49.019999999999996</v>
      </c>
      <c r="G145" s="6">
        <v>168</v>
      </c>
      <c r="J145" s="6">
        <v>5.7</v>
      </c>
      <c r="K145" s="6">
        <v>34.4</v>
      </c>
    </row>
    <row r="146" spans="1:11" x14ac:dyDescent="0.25">
      <c r="A146" s="6">
        <v>45.08</v>
      </c>
      <c r="B146" s="6">
        <v>185</v>
      </c>
      <c r="E146" s="4">
        <v>59</v>
      </c>
      <c r="F146" s="6">
        <v>49.160000000000004</v>
      </c>
      <c r="G146" s="6">
        <v>239</v>
      </c>
      <c r="J146" s="6">
        <v>14.8</v>
      </c>
      <c r="K146" s="6">
        <v>38.9</v>
      </c>
    </row>
    <row r="147" spans="1:11" x14ac:dyDescent="0.25">
      <c r="A147" s="6">
        <v>40.4</v>
      </c>
      <c r="B147" s="6">
        <v>186</v>
      </c>
      <c r="E147" s="4">
        <v>24</v>
      </c>
      <c r="F147" s="6">
        <v>49.660000000000004</v>
      </c>
      <c r="G147" s="6">
        <v>175</v>
      </c>
      <c r="J147" s="6">
        <v>1.9</v>
      </c>
      <c r="K147" s="6">
        <v>9</v>
      </c>
    </row>
    <row r="148" spans="1:11" x14ac:dyDescent="0.25">
      <c r="A148" s="6">
        <v>50.14</v>
      </c>
      <c r="B148" s="6">
        <v>186</v>
      </c>
      <c r="E148" s="4">
        <v>143</v>
      </c>
      <c r="F148" s="6">
        <v>50.1</v>
      </c>
      <c r="G148" s="6">
        <v>218</v>
      </c>
      <c r="J148" s="6">
        <v>7.3</v>
      </c>
      <c r="K148" s="6">
        <v>8.6999999999999993</v>
      </c>
    </row>
    <row r="149" spans="1:11" x14ac:dyDescent="0.25">
      <c r="A149" s="6">
        <v>41.22</v>
      </c>
      <c r="B149" s="6">
        <v>186</v>
      </c>
      <c r="E149" s="4">
        <v>60</v>
      </c>
      <c r="F149" s="6">
        <v>50.14</v>
      </c>
      <c r="G149" s="6">
        <v>186</v>
      </c>
      <c r="J149" s="6">
        <v>49</v>
      </c>
      <c r="K149" s="6">
        <v>44.3</v>
      </c>
    </row>
    <row r="150" spans="1:11" x14ac:dyDescent="0.25">
      <c r="A150" s="6">
        <v>27.22</v>
      </c>
      <c r="B150" s="6">
        <v>187</v>
      </c>
      <c r="E150" s="4">
        <v>148</v>
      </c>
      <c r="F150" s="6">
        <v>50.64</v>
      </c>
      <c r="G150" s="6">
        <v>265</v>
      </c>
      <c r="J150" s="6">
        <v>40.299999999999997</v>
      </c>
      <c r="K150" s="6">
        <v>11.9</v>
      </c>
    </row>
    <row r="151" spans="1:11" x14ac:dyDescent="0.25">
      <c r="A151" s="6">
        <v>50.68</v>
      </c>
      <c r="B151" s="6">
        <v>187</v>
      </c>
      <c r="E151" s="4">
        <v>75</v>
      </c>
      <c r="F151" s="6">
        <v>50.68</v>
      </c>
      <c r="G151" s="6">
        <v>187</v>
      </c>
      <c r="J151" s="6">
        <v>25.8</v>
      </c>
      <c r="K151" s="6">
        <v>20.6</v>
      </c>
    </row>
    <row r="152" spans="1:11" x14ac:dyDescent="0.25">
      <c r="A152" s="6">
        <v>46.68</v>
      </c>
      <c r="B152" s="6">
        <v>188</v>
      </c>
      <c r="E152" s="4">
        <v>12</v>
      </c>
      <c r="F152" s="6">
        <v>50.94</v>
      </c>
      <c r="G152" s="6">
        <v>151.5</v>
      </c>
      <c r="J152" s="6">
        <v>13.9</v>
      </c>
      <c r="K152" s="6">
        <v>37</v>
      </c>
    </row>
    <row r="153" spans="1:11" x14ac:dyDescent="0.25">
      <c r="A153" s="6">
        <v>58.760000000000005</v>
      </c>
      <c r="B153" s="6">
        <v>188</v>
      </c>
      <c r="E153" s="4">
        <v>44</v>
      </c>
      <c r="F153" s="6">
        <v>51.38</v>
      </c>
      <c r="G153" s="6">
        <v>149</v>
      </c>
      <c r="J153" s="6">
        <v>8.4</v>
      </c>
      <c r="K153" s="6">
        <v>48.7</v>
      </c>
    </row>
    <row r="154" spans="1:11" x14ac:dyDescent="0.25">
      <c r="A154" s="6">
        <v>44.82</v>
      </c>
      <c r="B154" s="6">
        <v>191</v>
      </c>
      <c r="E154" s="4">
        <v>101</v>
      </c>
      <c r="F154" s="6">
        <v>51.480000000000004</v>
      </c>
      <c r="G154" s="6">
        <v>137</v>
      </c>
      <c r="J154" s="6">
        <v>23.3</v>
      </c>
      <c r="K154" s="6">
        <v>14.2</v>
      </c>
    </row>
    <row r="155" spans="1:11" x14ac:dyDescent="0.25">
      <c r="A155" s="6">
        <v>33.700000000000003</v>
      </c>
      <c r="B155" s="6">
        <v>193</v>
      </c>
      <c r="E155" s="4">
        <v>69</v>
      </c>
      <c r="F155" s="6">
        <v>51.480000000000004</v>
      </c>
      <c r="G155" s="6">
        <v>196</v>
      </c>
      <c r="J155" s="6">
        <v>39.700000000000003</v>
      </c>
      <c r="K155" s="6">
        <v>37.700000000000003</v>
      </c>
    </row>
    <row r="156" spans="1:11" x14ac:dyDescent="0.25">
      <c r="A156" s="6">
        <v>51.480000000000004</v>
      </c>
      <c r="B156" s="6">
        <v>196</v>
      </c>
      <c r="E156" s="4">
        <v>125</v>
      </c>
      <c r="F156" s="6">
        <v>51.9</v>
      </c>
      <c r="G156" s="6">
        <v>201</v>
      </c>
      <c r="J156" s="6">
        <v>21.1</v>
      </c>
      <c r="K156" s="6">
        <v>9.5</v>
      </c>
    </row>
    <row r="157" spans="1:11" x14ac:dyDescent="0.25">
      <c r="A157" s="6">
        <v>44.82</v>
      </c>
      <c r="B157" s="6">
        <v>196</v>
      </c>
      <c r="E157" s="4">
        <v>200</v>
      </c>
      <c r="F157" s="6">
        <v>52.42</v>
      </c>
      <c r="G157" s="6">
        <v>139</v>
      </c>
      <c r="J157" s="6">
        <v>11.6</v>
      </c>
      <c r="K157" s="6">
        <v>5.7</v>
      </c>
    </row>
    <row r="158" spans="1:11" x14ac:dyDescent="0.25">
      <c r="A158" s="6">
        <v>37.58</v>
      </c>
      <c r="B158" s="6">
        <v>196</v>
      </c>
      <c r="E158" s="4">
        <v>182</v>
      </c>
      <c r="F158" s="6">
        <v>52.7</v>
      </c>
      <c r="G158" s="14">
        <v>124</v>
      </c>
      <c r="J158" s="6">
        <v>43.5</v>
      </c>
      <c r="K158" s="6">
        <v>50.5</v>
      </c>
    </row>
    <row r="159" spans="1:11" x14ac:dyDescent="0.25">
      <c r="A159" s="6">
        <v>31.3</v>
      </c>
      <c r="B159" s="6">
        <v>197</v>
      </c>
      <c r="E159" s="4">
        <v>29</v>
      </c>
      <c r="F159" s="6">
        <v>52.760000000000005</v>
      </c>
      <c r="G159" s="14">
        <v>199</v>
      </c>
      <c r="J159" s="6">
        <v>1.3</v>
      </c>
      <c r="K159" s="6">
        <v>24.3</v>
      </c>
    </row>
    <row r="160" spans="1:11" x14ac:dyDescent="0.25">
      <c r="A160" s="14">
        <v>52.760000000000005</v>
      </c>
      <c r="B160" s="6">
        <v>199</v>
      </c>
      <c r="E160" s="4">
        <v>48</v>
      </c>
      <c r="F160" s="6">
        <v>52.980000000000004</v>
      </c>
      <c r="G160" s="14">
        <v>245</v>
      </c>
      <c r="J160" s="6">
        <v>36.9</v>
      </c>
      <c r="K160" s="6">
        <v>45.2</v>
      </c>
    </row>
    <row r="161" spans="1:11" x14ac:dyDescent="0.25">
      <c r="A161" s="14">
        <v>51.9</v>
      </c>
      <c r="B161" s="6">
        <v>201</v>
      </c>
      <c r="E161" s="4">
        <v>110</v>
      </c>
      <c r="F161" s="6">
        <v>53.08</v>
      </c>
      <c r="G161" s="14">
        <v>183</v>
      </c>
      <c r="H161" s="15">
        <f>AVERAGE(G158:G164)</f>
        <v>182.57142857142858</v>
      </c>
      <c r="J161" s="6">
        <v>18.399999999999999</v>
      </c>
      <c r="K161" s="6">
        <v>34.6</v>
      </c>
    </row>
    <row r="162" spans="1:11" x14ac:dyDescent="0.25">
      <c r="A162" s="14">
        <v>41.36</v>
      </c>
      <c r="B162" s="6">
        <v>204</v>
      </c>
      <c r="E162" s="4">
        <v>175</v>
      </c>
      <c r="F162" s="6">
        <v>53.480000000000004</v>
      </c>
      <c r="G162" s="14">
        <v>127</v>
      </c>
      <c r="J162" s="6">
        <v>18.100000000000001</v>
      </c>
      <c r="K162" s="6">
        <v>30.7</v>
      </c>
    </row>
    <row r="163" spans="1:11" x14ac:dyDescent="0.25">
      <c r="A163" s="14"/>
      <c r="B163" s="6">
        <v>207</v>
      </c>
      <c r="C163" s="15">
        <f>AVERAGE(A160:A166)</f>
        <v>49.443333333333328</v>
      </c>
      <c r="E163" s="4">
        <v>40</v>
      </c>
      <c r="F163" s="6">
        <v>53.6</v>
      </c>
      <c r="G163" s="14">
        <v>230</v>
      </c>
      <c r="J163" s="6">
        <v>35.799999999999997</v>
      </c>
      <c r="K163" s="6">
        <v>49.3</v>
      </c>
    </row>
    <row r="164" spans="1:11" x14ac:dyDescent="0.25">
      <c r="A164" s="14">
        <v>54.64</v>
      </c>
      <c r="B164" s="6">
        <v>208</v>
      </c>
      <c r="E164" s="4">
        <v>63</v>
      </c>
      <c r="F164" s="6">
        <v>53.86</v>
      </c>
      <c r="G164" s="14">
        <v>170</v>
      </c>
      <c r="J164" s="6"/>
      <c r="K164" s="6"/>
    </row>
    <row r="165" spans="1:11" x14ac:dyDescent="0.25">
      <c r="A165" s="14">
        <v>37.260000000000005</v>
      </c>
      <c r="B165" s="6">
        <v>208</v>
      </c>
      <c r="E165" s="4">
        <v>129</v>
      </c>
      <c r="F165" s="6">
        <v>54.06</v>
      </c>
      <c r="G165" s="6">
        <v>264</v>
      </c>
      <c r="J165" s="6">
        <v>36.799999999999997</v>
      </c>
      <c r="K165" s="6">
        <v>7.4</v>
      </c>
    </row>
    <row r="166" spans="1:11" x14ac:dyDescent="0.25">
      <c r="A166" s="14">
        <v>58.739999999999995</v>
      </c>
      <c r="B166" s="6">
        <v>210</v>
      </c>
      <c r="E166" s="4">
        <v>111</v>
      </c>
      <c r="F166" s="6">
        <v>54.160000000000004</v>
      </c>
      <c r="G166" s="6">
        <v>150</v>
      </c>
      <c r="J166" s="6">
        <v>14.7</v>
      </c>
      <c r="K166" s="6">
        <v>5.4</v>
      </c>
    </row>
    <row r="167" spans="1:11" x14ac:dyDescent="0.25">
      <c r="A167" s="6">
        <v>58.68</v>
      </c>
      <c r="B167" s="6">
        <v>216</v>
      </c>
      <c r="E167" s="4">
        <v>105</v>
      </c>
      <c r="F167" s="6">
        <v>54.64</v>
      </c>
      <c r="G167" s="6">
        <v>208</v>
      </c>
      <c r="J167" s="6">
        <v>3.4</v>
      </c>
      <c r="K167" s="6">
        <v>84.8</v>
      </c>
    </row>
    <row r="168" spans="1:11" x14ac:dyDescent="0.25">
      <c r="A168" s="6">
        <v>50.1</v>
      </c>
      <c r="B168" s="6">
        <v>218</v>
      </c>
      <c r="E168" s="4">
        <v>147</v>
      </c>
      <c r="F168" s="6">
        <v>55.019999999999996</v>
      </c>
      <c r="G168" s="6">
        <v>142</v>
      </c>
      <c r="J168" s="6">
        <v>37.6</v>
      </c>
      <c r="K168" s="6">
        <v>21.6</v>
      </c>
    </row>
    <row r="169" spans="1:11" x14ac:dyDescent="0.25">
      <c r="A169" s="6">
        <v>62.54</v>
      </c>
      <c r="B169" s="6">
        <v>220</v>
      </c>
      <c r="E169" s="4">
        <v>132</v>
      </c>
      <c r="F169" s="6">
        <v>55.04</v>
      </c>
      <c r="G169" s="6">
        <v>147</v>
      </c>
      <c r="J169" s="6">
        <v>5.2</v>
      </c>
      <c r="K169" s="6">
        <v>19.399999999999999</v>
      </c>
    </row>
    <row r="170" spans="1:11" x14ac:dyDescent="0.25">
      <c r="A170" s="6">
        <v>55.339999999999996</v>
      </c>
      <c r="B170" s="6">
        <v>221</v>
      </c>
      <c r="E170" s="4">
        <v>112</v>
      </c>
      <c r="F170" s="6">
        <v>55.339999999999996</v>
      </c>
      <c r="G170" s="6">
        <v>221</v>
      </c>
      <c r="J170" s="6">
        <v>23.6</v>
      </c>
      <c r="K170" s="6">
        <v>57.6</v>
      </c>
    </row>
    <row r="171" spans="1:11" x14ac:dyDescent="0.25">
      <c r="A171" s="6">
        <v>45.7</v>
      </c>
      <c r="B171" s="6">
        <v>223</v>
      </c>
      <c r="E171" s="4">
        <v>1</v>
      </c>
      <c r="F171" s="6">
        <v>56.02</v>
      </c>
      <c r="G171" s="6">
        <v>236</v>
      </c>
      <c r="J171" s="6">
        <v>10.6</v>
      </c>
      <c r="K171" s="6">
        <v>6.4</v>
      </c>
    </row>
    <row r="172" spans="1:11" x14ac:dyDescent="0.25">
      <c r="A172" s="6">
        <v>41.519999999999996</v>
      </c>
      <c r="B172" s="6">
        <v>225</v>
      </c>
      <c r="E172" s="4">
        <v>94</v>
      </c>
      <c r="F172" s="6">
        <v>56.18</v>
      </c>
      <c r="G172" s="6">
        <v>225</v>
      </c>
      <c r="J172" s="6">
        <v>11.6</v>
      </c>
      <c r="K172" s="6">
        <v>18.399999999999999</v>
      </c>
    </row>
    <row r="173" spans="1:11" x14ac:dyDescent="0.25">
      <c r="A173" s="6">
        <v>56.18</v>
      </c>
      <c r="B173" s="6">
        <v>225</v>
      </c>
      <c r="E173" s="4">
        <v>37</v>
      </c>
      <c r="F173" s="6">
        <v>56.379999999999995</v>
      </c>
      <c r="G173" s="6">
        <v>256</v>
      </c>
      <c r="J173" s="6">
        <v>20.9</v>
      </c>
      <c r="K173" s="6">
        <v>47.4</v>
      </c>
    </row>
    <row r="174" spans="1:11" x14ac:dyDescent="0.25">
      <c r="A174" s="6">
        <v>67.72</v>
      </c>
      <c r="B174" s="6">
        <v>226</v>
      </c>
      <c r="E174" s="4">
        <v>166</v>
      </c>
      <c r="F174" s="6">
        <v>56.9</v>
      </c>
      <c r="G174" s="6">
        <v>131</v>
      </c>
      <c r="J174" s="6">
        <v>20.100000000000001</v>
      </c>
      <c r="K174" s="6">
        <v>17</v>
      </c>
    </row>
    <row r="175" spans="1:11" x14ac:dyDescent="0.25">
      <c r="A175" s="6">
        <v>196.98</v>
      </c>
      <c r="B175" s="6">
        <v>227</v>
      </c>
      <c r="E175" s="4">
        <v>199</v>
      </c>
      <c r="F175" s="6">
        <v>57.720000000000006</v>
      </c>
      <c r="G175" s="6">
        <v>235.5</v>
      </c>
      <c r="J175" s="6">
        <v>7.1</v>
      </c>
      <c r="K175" s="6">
        <v>12.8</v>
      </c>
    </row>
    <row r="176" spans="1:11" x14ac:dyDescent="0.25">
      <c r="A176" s="6">
        <v>46</v>
      </c>
      <c r="B176" s="6">
        <v>228</v>
      </c>
      <c r="E176" s="4">
        <v>177</v>
      </c>
      <c r="F176" s="6">
        <v>58.68</v>
      </c>
      <c r="G176" s="6">
        <v>216</v>
      </c>
      <c r="J176" s="6">
        <v>3.4</v>
      </c>
      <c r="K176" s="6">
        <v>13.1</v>
      </c>
    </row>
    <row r="177" spans="1:11" x14ac:dyDescent="0.25">
      <c r="A177" s="6">
        <v>48.36</v>
      </c>
      <c r="B177" s="6">
        <v>229</v>
      </c>
      <c r="E177" s="4">
        <v>138</v>
      </c>
      <c r="F177" s="6">
        <v>58.739999999999995</v>
      </c>
      <c r="G177" s="6">
        <v>210</v>
      </c>
      <c r="J177" s="6">
        <v>48.9</v>
      </c>
      <c r="K177" s="6">
        <v>41.8</v>
      </c>
    </row>
    <row r="178" spans="1:11" x14ac:dyDescent="0.25">
      <c r="A178" s="6">
        <v>53.6</v>
      </c>
      <c r="B178" s="6">
        <v>230</v>
      </c>
      <c r="E178" s="4">
        <v>185</v>
      </c>
      <c r="F178" s="6">
        <v>58.760000000000005</v>
      </c>
      <c r="G178" s="6">
        <v>188</v>
      </c>
      <c r="J178" s="6">
        <v>30.2</v>
      </c>
      <c r="K178" s="6">
        <v>20.3</v>
      </c>
    </row>
    <row r="179" spans="1:11" x14ac:dyDescent="0.25">
      <c r="A179" s="6">
        <v>59.58</v>
      </c>
      <c r="B179" s="6">
        <v>231</v>
      </c>
      <c r="E179" s="4">
        <v>189</v>
      </c>
      <c r="F179" s="6">
        <v>59.2</v>
      </c>
      <c r="G179" s="6">
        <v>167</v>
      </c>
      <c r="J179" s="6">
        <v>7.8</v>
      </c>
      <c r="K179" s="6">
        <v>35.200000000000003</v>
      </c>
    </row>
    <row r="180" spans="1:11" x14ac:dyDescent="0.25">
      <c r="A180" s="6">
        <v>44.28</v>
      </c>
      <c r="B180" s="6">
        <v>235</v>
      </c>
      <c r="E180" s="4">
        <v>26</v>
      </c>
      <c r="F180" s="6">
        <v>59.58</v>
      </c>
      <c r="G180" s="6">
        <v>139</v>
      </c>
      <c r="J180" s="6">
        <v>2.2999999999999998</v>
      </c>
      <c r="K180" s="6">
        <v>23.7</v>
      </c>
    </row>
    <row r="181" spans="1:11" x14ac:dyDescent="0.25">
      <c r="A181" s="6">
        <v>57.720000000000006</v>
      </c>
      <c r="B181" s="6">
        <v>235.5</v>
      </c>
      <c r="E181" s="4">
        <v>31</v>
      </c>
      <c r="F181" s="6">
        <v>59.58</v>
      </c>
      <c r="G181" s="6">
        <v>231</v>
      </c>
      <c r="J181" s="6">
        <v>10</v>
      </c>
      <c r="K181" s="6">
        <v>17.600000000000001</v>
      </c>
    </row>
    <row r="182" spans="1:11" x14ac:dyDescent="0.25">
      <c r="A182" s="6">
        <v>56.02</v>
      </c>
      <c r="B182" s="6">
        <v>236</v>
      </c>
      <c r="E182" s="4">
        <v>170</v>
      </c>
      <c r="F182" s="6">
        <v>60.86</v>
      </c>
      <c r="G182" s="6">
        <v>162</v>
      </c>
      <c r="J182" s="6">
        <v>2.6</v>
      </c>
      <c r="K182" s="6">
        <v>8.3000000000000007</v>
      </c>
    </row>
    <row r="183" spans="1:11" x14ac:dyDescent="0.25">
      <c r="A183" s="6">
        <v>49.160000000000004</v>
      </c>
      <c r="B183" s="6">
        <v>239</v>
      </c>
      <c r="E183" s="4">
        <v>34</v>
      </c>
      <c r="F183" s="6">
        <v>61.120000000000005</v>
      </c>
      <c r="G183" s="6">
        <v>184</v>
      </c>
      <c r="J183" s="6">
        <v>5.4</v>
      </c>
      <c r="K183" s="6">
        <v>27.4</v>
      </c>
    </row>
    <row r="184" spans="1:11" x14ac:dyDescent="0.25">
      <c r="A184" s="6">
        <v>42.08</v>
      </c>
      <c r="B184" s="6">
        <v>240</v>
      </c>
      <c r="E184" s="4">
        <v>62</v>
      </c>
      <c r="F184" s="6">
        <v>61.260000000000005</v>
      </c>
      <c r="G184" s="6">
        <v>240</v>
      </c>
      <c r="J184" s="6">
        <v>5.7</v>
      </c>
      <c r="K184" s="6">
        <v>29.7</v>
      </c>
    </row>
    <row r="185" spans="1:11" x14ac:dyDescent="0.25">
      <c r="A185" s="6">
        <v>40.78</v>
      </c>
      <c r="B185" s="6">
        <v>240</v>
      </c>
      <c r="E185" s="4">
        <v>36</v>
      </c>
      <c r="F185" s="6">
        <v>62.14</v>
      </c>
      <c r="G185" s="6">
        <v>129</v>
      </c>
      <c r="J185" s="6">
        <v>43</v>
      </c>
      <c r="K185" s="6">
        <v>71.8</v>
      </c>
    </row>
    <row r="186" spans="1:11" x14ac:dyDescent="0.25">
      <c r="A186" s="6">
        <v>61.260000000000005</v>
      </c>
      <c r="B186" s="6">
        <v>240</v>
      </c>
      <c r="E186" s="4">
        <v>18</v>
      </c>
      <c r="F186" s="6">
        <v>62.279999999999994</v>
      </c>
      <c r="G186" s="6">
        <v>258</v>
      </c>
      <c r="J186" s="6">
        <v>21.3</v>
      </c>
      <c r="K186" s="6">
        <v>30</v>
      </c>
    </row>
    <row r="187" spans="1:11" x14ac:dyDescent="0.25">
      <c r="A187" s="6">
        <v>52.980000000000004</v>
      </c>
      <c r="B187" s="6">
        <v>245</v>
      </c>
      <c r="E187" s="4">
        <v>55</v>
      </c>
      <c r="F187" s="6">
        <v>62.54</v>
      </c>
      <c r="G187" s="6">
        <v>220</v>
      </c>
      <c r="J187" s="6">
        <v>45.1</v>
      </c>
      <c r="K187" s="6">
        <v>19.600000000000001</v>
      </c>
    </row>
    <row r="188" spans="1:11" x14ac:dyDescent="0.25">
      <c r="A188" s="6">
        <v>63.279999999999994</v>
      </c>
      <c r="B188" s="6">
        <v>254</v>
      </c>
      <c r="E188" s="4">
        <v>102</v>
      </c>
      <c r="F188" s="6">
        <v>63.279999999999994</v>
      </c>
      <c r="G188" s="6">
        <v>254</v>
      </c>
      <c r="J188" s="6">
        <v>2.1</v>
      </c>
      <c r="K188" s="6">
        <v>26.6</v>
      </c>
    </row>
    <row r="189" spans="1:11" x14ac:dyDescent="0.25">
      <c r="A189" s="6">
        <v>56.379999999999995</v>
      </c>
      <c r="B189" s="6">
        <v>256</v>
      </c>
      <c r="E189" s="4">
        <v>179</v>
      </c>
      <c r="F189" s="6">
        <v>63.339999999999996</v>
      </c>
      <c r="G189" s="6">
        <v>131</v>
      </c>
      <c r="J189" s="6">
        <v>28.7</v>
      </c>
      <c r="K189" s="6">
        <v>18.2</v>
      </c>
    </row>
    <row r="190" spans="1:11" x14ac:dyDescent="0.25">
      <c r="A190" s="6">
        <v>64.94</v>
      </c>
      <c r="B190" s="6">
        <v>257</v>
      </c>
      <c r="E190" s="4">
        <v>103</v>
      </c>
      <c r="F190" s="6">
        <v>64.039999999999992</v>
      </c>
      <c r="G190" s="6">
        <v>158</v>
      </c>
      <c r="J190" s="6">
        <v>13.9</v>
      </c>
      <c r="K190" s="6">
        <v>3.7</v>
      </c>
    </row>
    <row r="191" spans="1:11" x14ac:dyDescent="0.25">
      <c r="A191" s="6">
        <v>62.279999999999994</v>
      </c>
      <c r="B191" s="6">
        <v>258</v>
      </c>
      <c r="E191" s="4">
        <v>176</v>
      </c>
      <c r="F191" s="6">
        <v>64.38</v>
      </c>
      <c r="G191" s="6">
        <v>271</v>
      </c>
      <c r="J191" s="6">
        <v>12.1</v>
      </c>
      <c r="K191" s="6">
        <v>23.4</v>
      </c>
    </row>
    <row r="192" spans="1:11" x14ac:dyDescent="0.25">
      <c r="A192" s="6">
        <v>54.06</v>
      </c>
      <c r="B192" s="6">
        <v>264</v>
      </c>
      <c r="E192" s="4">
        <v>99</v>
      </c>
      <c r="F192" s="6">
        <v>64.94</v>
      </c>
      <c r="G192" s="6">
        <v>257</v>
      </c>
      <c r="J192" s="6">
        <v>41.1</v>
      </c>
      <c r="K192" s="6">
        <v>5.8</v>
      </c>
    </row>
    <row r="193" spans="1:11" x14ac:dyDescent="0.25">
      <c r="A193" s="6">
        <v>50.64</v>
      </c>
      <c r="B193" s="6">
        <v>265</v>
      </c>
      <c r="E193" s="4">
        <v>184</v>
      </c>
      <c r="F193" s="6">
        <v>65.52000000000001</v>
      </c>
      <c r="G193" s="6">
        <v>272</v>
      </c>
      <c r="J193" s="6">
        <v>10.8</v>
      </c>
      <c r="K193" s="6">
        <v>6</v>
      </c>
    </row>
    <row r="194" spans="1:11" x14ac:dyDescent="0.25">
      <c r="A194" s="6">
        <v>64.38</v>
      </c>
      <c r="B194" s="6">
        <v>271</v>
      </c>
      <c r="E194" s="4">
        <v>151</v>
      </c>
      <c r="F194" s="6">
        <v>66.14</v>
      </c>
      <c r="G194" s="6">
        <v>166</v>
      </c>
      <c r="J194" s="6">
        <v>4.0999999999999996</v>
      </c>
      <c r="K194" s="6">
        <v>31.6</v>
      </c>
    </row>
    <row r="195" spans="1:11" x14ac:dyDescent="0.25">
      <c r="A195" s="6">
        <v>65.52000000000001</v>
      </c>
      <c r="B195" s="6">
        <v>272</v>
      </c>
      <c r="E195" s="4">
        <v>43</v>
      </c>
      <c r="F195" s="6">
        <v>67.72</v>
      </c>
      <c r="G195" s="6">
        <v>226</v>
      </c>
      <c r="J195" s="6">
        <v>42</v>
      </c>
      <c r="K195" s="6">
        <v>3.6</v>
      </c>
    </row>
    <row r="196" spans="1:11" x14ac:dyDescent="0.25">
      <c r="A196" s="6">
        <v>27.54</v>
      </c>
      <c r="B196" s="6">
        <v>298.75</v>
      </c>
      <c r="E196" s="4">
        <v>128</v>
      </c>
      <c r="F196" s="6">
        <v>71.06</v>
      </c>
      <c r="G196" s="6">
        <v>92</v>
      </c>
      <c r="J196" s="6">
        <v>35.6</v>
      </c>
      <c r="K196" s="6">
        <v>6</v>
      </c>
    </row>
    <row r="197" spans="1:11" x14ac:dyDescent="0.25">
      <c r="A197" s="6">
        <v>47.54</v>
      </c>
      <c r="B197" s="6">
        <v>811</v>
      </c>
      <c r="E197" s="4">
        <v>17</v>
      </c>
      <c r="F197" s="6">
        <v>89.06</v>
      </c>
      <c r="G197" s="6">
        <v>135</v>
      </c>
      <c r="J197" s="6">
        <v>3.7</v>
      </c>
      <c r="K197" s="6">
        <v>13.8</v>
      </c>
    </row>
    <row r="198" spans="1:11" x14ac:dyDescent="0.25">
      <c r="A198" s="6">
        <v>11.64</v>
      </c>
      <c r="B198" s="6"/>
      <c r="E198" s="4">
        <v>32</v>
      </c>
      <c r="F198" s="6">
        <v>92.987500000000011</v>
      </c>
      <c r="G198" s="6">
        <v>126</v>
      </c>
      <c r="J198" s="6">
        <v>4.9000000000000004</v>
      </c>
      <c r="K198" s="6">
        <v>8.1</v>
      </c>
    </row>
    <row r="199" spans="1:11" x14ac:dyDescent="0.25">
      <c r="A199" s="6">
        <v>53.08</v>
      </c>
      <c r="B199" s="6"/>
      <c r="E199" s="4">
        <v>82</v>
      </c>
      <c r="F199" s="6">
        <v>151.96</v>
      </c>
      <c r="G199" s="6">
        <v>128</v>
      </c>
      <c r="J199" s="6">
        <v>9.3000000000000007</v>
      </c>
      <c r="K199" s="6">
        <v>6.4</v>
      </c>
    </row>
    <row r="200" spans="1:11" x14ac:dyDescent="0.25">
      <c r="A200" s="6">
        <v>45.96</v>
      </c>
      <c r="B200" s="6"/>
      <c r="E200" s="4">
        <v>150</v>
      </c>
      <c r="F200" s="6">
        <v>164</v>
      </c>
      <c r="G200" s="6">
        <v>118</v>
      </c>
      <c r="J200" s="6">
        <v>42</v>
      </c>
      <c r="K200" s="6">
        <v>66.2</v>
      </c>
    </row>
    <row r="201" spans="1:11" x14ac:dyDescent="0.25">
      <c r="A201" s="6">
        <v>28.919999999999998</v>
      </c>
      <c r="B201" s="6"/>
      <c r="E201" s="4">
        <v>140</v>
      </c>
      <c r="F201" s="6">
        <v>196.98</v>
      </c>
      <c r="G201" s="6">
        <v>227</v>
      </c>
      <c r="J201" s="6">
        <v>8.6</v>
      </c>
      <c r="K201" s="6">
        <v>8.6999999999999993</v>
      </c>
    </row>
  </sheetData>
  <autoFilter ref="E1:G1" xr:uid="{2687AA15-B5F4-46B3-81F4-D432A5D3B472}">
    <sortState xmlns:xlrd2="http://schemas.microsoft.com/office/spreadsheetml/2017/richdata2" ref="E2:G201">
      <sortCondition ref="F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AC16-2D3C-45FB-A690-3F035A24A844}">
  <dimension ref="A2:L1010"/>
  <sheetViews>
    <sheetView topLeftCell="D1" zoomScale="200" zoomScaleNormal="200" workbookViewId="0">
      <selection activeCell="K1" sqref="K1"/>
    </sheetView>
  </sheetViews>
  <sheetFormatPr defaultColWidth="11.125" defaultRowHeight="15" customHeight="1" x14ac:dyDescent="0.25"/>
  <cols>
    <col min="1" max="1" width="10.5" customWidth="1"/>
    <col min="2" max="2" width="21.875" customWidth="1"/>
    <col min="3" max="3" width="10.5" customWidth="1"/>
    <col min="4" max="4" width="10.5" style="18" customWidth="1"/>
    <col min="5" max="21" width="10.5" customWidth="1"/>
  </cols>
  <sheetData>
    <row r="2" spans="1:12" ht="15" customHeight="1" x14ac:dyDescent="0.25">
      <c r="B2" t="s">
        <v>34</v>
      </c>
      <c r="C2" s="20">
        <f>C5+1.5*C4</f>
        <v>96.179999999999993</v>
      </c>
      <c r="D2" s="20">
        <f t="shared" ref="D2:F2" si="0">D5+1.5*D4</f>
        <v>76.949999999999989</v>
      </c>
      <c r="E2" s="20">
        <f t="shared" si="0"/>
        <v>93.625</v>
      </c>
      <c r="F2" s="20">
        <f t="shared" si="0"/>
        <v>41.756249999999994</v>
      </c>
      <c r="G2" s="20">
        <f>G5+1.5*G4</f>
        <v>294</v>
      </c>
      <c r="H2" s="20"/>
      <c r="I2" s="20"/>
      <c r="J2" s="20"/>
      <c r="K2" s="20"/>
      <c r="L2" s="20"/>
    </row>
    <row r="3" spans="1:12" ht="15" customHeight="1" x14ac:dyDescent="0.25">
      <c r="B3" t="s">
        <v>33</v>
      </c>
      <c r="C3" s="21">
        <f>C6-1.5*C4</f>
        <v>-24.979999999999993</v>
      </c>
      <c r="D3" s="21">
        <f t="shared" ref="D3:G3" si="1">D6-1.5*D4</f>
        <v>-30.049999999999994</v>
      </c>
      <c r="E3" s="21">
        <f t="shared" si="1"/>
        <v>-35.775000000000006</v>
      </c>
      <c r="F3" s="21">
        <f t="shared" si="1"/>
        <v>-7.1737499999999947</v>
      </c>
      <c r="G3" s="20">
        <f t="shared" si="1"/>
        <v>6</v>
      </c>
      <c r="H3" s="20"/>
      <c r="I3" s="20"/>
      <c r="J3" s="20"/>
      <c r="K3" s="20"/>
      <c r="L3" s="20"/>
    </row>
    <row r="4" spans="1:12" ht="15" customHeight="1" x14ac:dyDescent="0.25">
      <c r="B4" t="s">
        <v>32</v>
      </c>
      <c r="C4">
        <f>C5-C6</f>
        <v>30.289999999999996</v>
      </c>
      <c r="D4">
        <f t="shared" ref="D4:G4" si="2">D5-D6</f>
        <v>26.749999999999996</v>
      </c>
      <c r="E4">
        <f t="shared" si="2"/>
        <v>32.35</v>
      </c>
      <c r="F4" s="12">
        <f t="shared" si="2"/>
        <v>12.232499999999998</v>
      </c>
      <c r="G4">
        <f t="shared" si="2"/>
        <v>72</v>
      </c>
    </row>
    <row r="5" spans="1:12" ht="15" customHeight="1" x14ac:dyDescent="0.25">
      <c r="B5" t="s">
        <v>31</v>
      </c>
      <c r="C5" s="12">
        <f>QUARTILE(C12:C211,3)</f>
        <v>50.744999999999997</v>
      </c>
      <c r="D5">
        <f t="shared" ref="D5:G5" si="3">QUARTILE(D12:D211,3)</f>
        <v>36.824999999999996</v>
      </c>
      <c r="E5">
        <f t="shared" si="3"/>
        <v>45.1</v>
      </c>
      <c r="F5" s="12">
        <f t="shared" si="3"/>
        <v>23.407499999999999</v>
      </c>
      <c r="G5">
        <f t="shared" si="3"/>
        <v>186</v>
      </c>
    </row>
    <row r="6" spans="1:12" ht="15" customHeight="1" x14ac:dyDescent="0.25">
      <c r="B6" t="s">
        <v>30</v>
      </c>
      <c r="C6" s="12">
        <f>QUARTILE(C12:C211,1)</f>
        <v>20.455000000000002</v>
      </c>
      <c r="D6">
        <f>QUARTILE(D12:D211,1)</f>
        <v>10.074999999999999</v>
      </c>
      <c r="E6">
        <f>QUARTILE(E12:E211,1)</f>
        <v>12.75</v>
      </c>
      <c r="F6" s="12">
        <f>QUARTILE(F12:F211,1)</f>
        <v>11.175000000000001</v>
      </c>
      <c r="G6">
        <f>QUARTILE(G12:G211,1)</f>
        <v>114</v>
      </c>
    </row>
    <row r="7" spans="1:12" ht="15" customHeight="1" x14ac:dyDescent="0.25">
      <c r="B7" t="s">
        <v>21</v>
      </c>
      <c r="C7" s="12">
        <v>0.64194693807600833</v>
      </c>
      <c r="D7" s="18">
        <v>0.86782908628130984</v>
      </c>
      <c r="E7" s="12">
        <v>0.70080532512656146</v>
      </c>
      <c r="F7" s="17">
        <v>0.73219615071695565</v>
      </c>
      <c r="G7">
        <v>0.45499646614591899</v>
      </c>
    </row>
    <row r="8" spans="1:12" ht="15" customHeight="1" x14ac:dyDescent="0.25">
      <c r="B8" t="s">
        <v>20</v>
      </c>
      <c r="C8" s="12">
        <v>24.47142652063047</v>
      </c>
      <c r="D8" s="18">
        <v>21.696599347069238</v>
      </c>
      <c r="E8" s="12">
        <v>21.316570775705898</v>
      </c>
      <c r="F8">
        <v>13.816372043669105</v>
      </c>
      <c r="G8">
        <v>70.072299514384895</v>
      </c>
    </row>
    <row r="9" spans="1:12" ht="15" customHeight="1" x14ac:dyDescent="0.25">
      <c r="B9" t="s">
        <v>19</v>
      </c>
      <c r="C9">
        <v>38.209999999999994</v>
      </c>
      <c r="D9" s="18">
        <v>23.6</v>
      </c>
      <c r="E9">
        <v>25.9</v>
      </c>
      <c r="F9">
        <v>17.100000000000001</v>
      </c>
      <c r="G9">
        <v>139</v>
      </c>
    </row>
    <row r="10" spans="1:12" ht="15" customHeight="1" x14ac:dyDescent="0.25">
      <c r="B10" t="s">
        <v>18</v>
      </c>
      <c r="C10" s="12">
        <v>38.120637500000015</v>
      </c>
      <c r="D10" s="18">
        <v>25.001005025125661</v>
      </c>
      <c r="E10" s="12">
        <v>30.417249999999996</v>
      </c>
      <c r="F10">
        <v>18.869768750000006</v>
      </c>
      <c r="G10">
        <v>154.00624999999999</v>
      </c>
    </row>
    <row r="11" spans="1:12" ht="15.75" customHeight="1" x14ac:dyDescent="0.25">
      <c r="A11" s="1" t="s">
        <v>0</v>
      </c>
      <c r="B11" s="1" t="s">
        <v>1</v>
      </c>
      <c r="C11" s="2" t="s">
        <v>2</v>
      </c>
      <c r="D11" s="19" t="s">
        <v>3</v>
      </c>
      <c r="E11" s="2" t="s">
        <v>4</v>
      </c>
      <c r="F11" s="2" t="s">
        <v>16</v>
      </c>
      <c r="G11" s="3" t="s">
        <v>5</v>
      </c>
      <c r="H11" s="2" t="s">
        <v>2</v>
      </c>
      <c r="I11" s="2" t="s">
        <v>3</v>
      </c>
      <c r="J11" s="2" t="s">
        <v>4</v>
      </c>
      <c r="K11" s="2" t="s">
        <v>16</v>
      </c>
      <c r="L11" s="16" t="s">
        <v>5</v>
      </c>
    </row>
    <row r="12" spans="1:12" ht="15.75" customHeight="1" x14ac:dyDescent="0.25">
      <c r="A12" s="4">
        <v>1</v>
      </c>
      <c r="B12" s="5">
        <f t="shared" ref="B12:B43" si="4">+B13-1</f>
        <v>44997</v>
      </c>
      <c r="C12" s="6">
        <v>56.02</v>
      </c>
      <c r="D12" s="18">
        <v>37.799999999999997</v>
      </c>
      <c r="E12">
        <v>69.2</v>
      </c>
      <c r="F12">
        <v>14.229999999999993</v>
      </c>
      <c r="G12" s="6">
        <v>71</v>
      </c>
      <c r="H12" s="8">
        <f>IF(C12&gt;$C$2,$C$2,C12)</f>
        <v>56.02</v>
      </c>
      <c r="I12">
        <f>IF(D12&gt;$D$2,$D$2,D12)</f>
        <v>37.799999999999997</v>
      </c>
      <c r="J12">
        <f>IF(E12&gt;$E$2,$E$2,E12)</f>
        <v>69.2</v>
      </c>
      <c r="K12">
        <f>IF(F12&gt;$F$2,$F$2,F12)</f>
        <v>14.229999999999993</v>
      </c>
      <c r="L12">
        <f>IF(G12&gt;$G$2,$G$2,G12)</f>
        <v>71</v>
      </c>
    </row>
    <row r="13" spans="1:12" ht="15.75" customHeight="1" x14ac:dyDescent="0.25">
      <c r="A13" s="4">
        <v>2</v>
      </c>
      <c r="B13" s="5">
        <f t="shared" si="4"/>
        <v>44998</v>
      </c>
      <c r="C13" s="6">
        <v>10.9</v>
      </c>
      <c r="D13" s="18">
        <v>39.299999999999997</v>
      </c>
      <c r="E13">
        <v>45.1</v>
      </c>
      <c r="F13">
        <v>6.0599999999999952</v>
      </c>
      <c r="G13" s="6">
        <v>71</v>
      </c>
      <c r="H13" s="8">
        <f t="shared" ref="H13:H76" si="5">IF(C13&gt;$C$2,C3,C13)</f>
        <v>10.9</v>
      </c>
      <c r="I13">
        <f t="shared" ref="I13:I76" si="6">IF(D13&gt;$D$2,$D$2,D13)</f>
        <v>39.299999999999997</v>
      </c>
      <c r="J13">
        <f t="shared" ref="J13:J76" si="7">IF(E13&gt;$E$2,$E$2,E13)</f>
        <v>45.1</v>
      </c>
      <c r="K13">
        <f t="shared" ref="K13:K76" si="8">IF(F13&gt;$F$2,$F$2,F13)</f>
        <v>6.0599999999999952</v>
      </c>
      <c r="L13">
        <f t="shared" ref="L13:L76" si="9">IF(G13&gt;$G$2,$G$2,G13)</f>
        <v>71</v>
      </c>
    </row>
    <row r="14" spans="1:12" ht="15.75" customHeight="1" x14ac:dyDescent="0.25">
      <c r="A14" s="4">
        <v>3</v>
      </c>
      <c r="B14" s="5">
        <f t="shared" si="4"/>
        <v>44999</v>
      </c>
      <c r="C14" s="6">
        <v>12.44</v>
      </c>
      <c r="D14" s="18">
        <v>45.9</v>
      </c>
      <c r="E14">
        <v>69.3</v>
      </c>
      <c r="F14">
        <v>16.95</v>
      </c>
      <c r="G14" s="6">
        <v>28</v>
      </c>
      <c r="H14" s="8">
        <f t="shared" si="5"/>
        <v>12.44</v>
      </c>
      <c r="I14">
        <f t="shared" si="6"/>
        <v>45.9</v>
      </c>
      <c r="J14">
        <f t="shared" si="7"/>
        <v>69.3</v>
      </c>
      <c r="K14">
        <f t="shared" si="8"/>
        <v>16.95</v>
      </c>
      <c r="L14">
        <f t="shared" si="9"/>
        <v>28</v>
      </c>
    </row>
    <row r="15" spans="1:12" ht="15.75" customHeight="1" x14ac:dyDescent="0.25">
      <c r="A15" s="4">
        <v>4</v>
      </c>
      <c r="B15" s="5">
        <f t="shared" si="4"/>
        <v>45000</v>
      </c>
      <c r="C15" s="6">
        <v>31.3</v>
      </c>
      <c r="D15" s="18">
        <v>41.3</v>
      </c>
      <c r="E15">
        <v>58.5</v>
      </c>
      <c r="F15">
        <v>12.399999999999995</v>
      </c>
      <c r="G15" s="6">
        <v>83</v>
      </c>
      <c r="H15" s="8">
        <f t="shared" si="5"/>
        <v>31.3</v>
      </c>
      <c r="I15">
        <f t="shared" si="6"/>
        <v>41.3</v>
      </c>
      <c r="J15">
        <f t="shared" si="7"/>
        <v>58.5</v>
      </c>
      <c r="K15">
        <f t="shared" si="8"/>
        <v>12.399999999999995</v>
      </c>
      <c r="L15">
        <f t="shared" si="9"/>
        <v>83</v>
      </c>
    </row>
    <row r="16" spans="1:12" ht="15.75" customHeight="1" x14ac:dyDescent="0.25">
      <c r="A16" s="4">
        <v>5</v>
      </c>
      <c r="B16" s="5">
        <f t="shared" si="4"/>
        <v>45001</v>
      </c>
      <c r="C16" s="6">
        <v>46.160000000000004</v>
      </c>
      <c r="D16" s="18">
        <v>10.8</v>
      </c>
      <c r="E16">
        <v>58.4</v>
      </c>
      <c r="F16">
        <v>0.12000000000000455</v>
      </c>
      <c r="G16" s="6">
        <v>86</v>
      </c>
      <c r="H16" s="8">
        <f t="shared" si="5"/>
        <v>46.160000000000004</v>
      </c>
      <c r="I16">
        <f t="shared" si="6"/>
        <v>10.8</v>
      </c>
      <c r="J16">
        <f t="shared" si="7"/>
        <v>58.4</v>
      </c>
      <c r="K16">
        <f t="shared" si="8"/>
        <v>0.12000000000000455</v>
      </c>
      <c r="L16">
        <f t="shared" si="9"/>
        <v>86</v>
      </c>
    </row>
    <row r="17" spans="1:12" ht="15.75" customHeight="1" x14ac:dyDescent="0.25">
      <c r="A17" s="4">
        <v>6</v>
      </c>
      <c r="B17" s="5">
        <f t="shared" si="4"/>
        <v>45002</v>
      </c>
      <c r="C17" s="6">
        <v>6.74</v>
      </c>
      <c r="D17" s="18">
        <v>48.9</v>
      </c>
      <c r="E17">
        <v>75</v>
      </c>
      <c r="F17">
        <v>15.32</v>
      </c>
      <c r="G17" s="6">
        <v>81</v>
      </c>
      <c r="H17" s="8">
        <f t="shared" si="5"/>
        <v>6.74</v>
      </c>
      <c r="I17">
        <f t="shared" si="6"/>
        <v>48.9</v>
      </c>
      <c r="J17">
        <f t="shared" si="7"/>
        <v>75</v>
      </c>
      <c r="K17">
        <f t="shared" si="8"/>
        <v>15.32</v>
      </c>
      <c r="L17">
        <f t="shared" si="9"/>
        <v>81</v>
      </c>
    </row>
    <row r="18" spans="1:12" ht="15.75" customHeight="1" x14ac:dyDescent="0.25">
      <c r="A18" s="4">
        <v>7</v>
      </c>
      <c r="B18" s="5">
        <f t="shared" si="4"/>
        <v>45003</v>
      </c>
      <c r="C18" s="6">
        <v>13.5</v>
      </c>
      <c r="D18" s="18">
        <v>32.799999999999997</v>
      </c>
      <c r="E18">
        <v>23.5</v>
      </c>
      <c r="F18">
        <v>12.749999999999998</v>
      </c>
      <c r="G18" s="6">
        <v>86</v>
      </c>
      <c r="H18" s="8">
        <f t="shared" si="5"/>
        <v>13.5</v>
      </c>
      <c r="I18">
        <f t="shared" si="6"/>
        <v>32.799999999999997</v>
      </c>
      <c r="J18">
        <f t="shared" si="7"/>
        <v>23.5</v>
      </c>
      <c r="K18">
        <f t="shared" si="8"/>
        <v>12.749999999999998</v>
      </c>
      <c r="L18">
        <f t="shared" si="9"/>
        <v>86</v>
      </c>
    </row>
    <row r="19" spans="1:12" ht="15.75" customHeight="1" x14ac:dyDescent="0.25">
      <c r="A19" s="4">
        <v>8</v>
      </c>
      <c r="B19" s="5">
        <f t="shared" si="4"/>
        <v>45004</v>
      </c>
      <c r="C19" s="6">
        <v>31.04</v>
      </c>
      <c r="D19" s="18">
        <v>19.600000000000001</v>
      </c>
      <c r="E19">
        <v>11.6</v>
      </c>
      <c r="F19">
        <v>17.18</v>
      </c>
      <c r="G19" s="6">
        <v>62</v>
      </c>
      <c r="H19" s="8">
        <f t="shared" si="5"/>
        <v>31.04</v>
      </c>
      <c r="I19">
        <f t="shared" si="6"/>
        <v>19.600000000000001</v>
      </c>
      <c r="J19">
        <f t="shared" si="7"/>
        <v>11.6</v>
      </c>
      <c r="K19">
        <f t="shared" si="8"/>
        <v>17.18</v>
      </c>
      <c r="L19">
        <f t="shared" si="9"/>
        <v>62</v>
      </c>
    </row>
    <row r="20" spans="1:12" ht="15.75" customHeight="1" x14ac:dyDescent="0.25">
      <c r="A20" s="4">
        <v>9</v>
      </c>
      <c r="B20" s="5">
        <f t="shared" si="4"/>
        <v>45005</v>
      </c>
      <c r="C20" s="6">
        <v>9.7200000000000006</v>
      </c>
      <c r="D20" s="18">
        <v>2.1</v>
      </c>
      <c r="E20">
        <v>1</v>
      </c>
      <c r="F20">
        <v>1.5100000000000002</v>
      </c>
      <c r="G20" s="6">
        <v>78</v>
      </c>
      <c r="H20" s="8">
        <f t="shared" si="5"/>
        <v>9.7200000000000006</v>
      </c>
      <c r="I20">
        <f t="shared" si="6"/>
        <v>2.1</v>
      </c>
      <c r="J20">
        <f t="shared" si="7"/>
        <v>1</v>
      </c>
      <c r="K20">
        <f t="shared" si="8"/>
        <v>1.5100000000000002</v>
      </c>
      <c r="L20">
        <f t="shared" si="9"/>
        <v>78</v>
      </c>
    </row>
    <row r="21" spans="1:12" ht="15.75" customHeight="1" x14ac:dyDescent="0.25">
      <c r="A21" s="4">
        <v>10</v>
      </c>
      <c r="B21" s="5">
        <f t="shared" si="4"/>
        <v>45006</v>
      </c>
      <c r="C21" s="6">
        <v>40.96</v>
      </c>
      <c r="D21" s="18">
        <v>2.6</v>
      </c>
      <c r="E21">
        <v>21.2</v>
      </c>
      <c r="F21">
        <v>12.8</v>
      </c>
      <c r="G21" s="6">
        <v>109</v>
      </c>
      <c r="H21" s="8">
        <f t="shared" si="5"/>
        <v>40.96</v>
      </c>
      <c r="I21">
        <f t="shared" si="6"/>
        <v>2.6</v>
      </c>
      <c r="J21">
        <f t="shared" si="7"/>
        <v>21.2</v>
      </c>
      <c r="K21">
        <f t="shared" si="8"/>
        <v>12.8</v>
      </c>
      <c r="L21">
        <f t="shared" si="9"/>
        <v>109</v>
      </c>
    </row>
    <row r="22" spans="1:12" ht="15.75" customHeight="1" x14ac:dyDescent="0.25">
      <c r="A22" s="4">
        <v>11</v>
      </c>
      <c r="B22" s="5">
        <f t="shared" si="4"/>
        <v>45007</v>
      </c>
      <c r="C22" s="6">
        <v>23.22</v>
      </c>
      <c r="D22" s="18">
        <v>5.8</v>
      </c>
      <c r="E22">
        <v>24.2</v>
      </c>
      <c r="F22">
        <v>19.829999999999998</v>
      </c>
      <c r="G22" s="6">
        <v>54</v>
      </c>
      <c r="H22" s="8">
        <f t="shared" si="5"/>
        <v>23.22</v>
      </c>
      <c r="I22">
        <f t="shared" si="6"/>
        <v>5.8</v>
      </c>
      <c r="J22">
        <f t="shared" si="7"/>
        <v>24.2</v>
      </c>
      <c r="K22">
        <f t="shared" si="8"/>
        <v>19.829999999999998</v>
      </c>
      <c r="L22">
        <f t="shared" si="9"/>
        <v>54</v>
      </c>
    </row>
    <row r="23" spans="1:12" ht="15.75" customHeight="1" x14ac:dyDescent="0.25">
      <c r="A23" s="4">
        <v>12</v>
      </c>
      <c r="B23" s="5">
        <f t="shared" si="4"/>
        <v>45008</v>
      </c>
      <c r="C23" s="6">
        <v>50.94</v>
      </c>
      <c r="D23" s="18">
        <v>24</v>
      </c>
      <c r="E23">
        <v>4</v>
      </c>
      <c r="F23">
        <v>31.869999999999997</v>
      </c>
      <c r="G23" s="6">
        <v>54</v>
      </c>
      <c r="H23" s="8">
        <f t="shared" si="5"/>
        <v>50.94</v>
      </c>
      <c r="I23">
        <f t="shared" si="6"/>
        <v>24</v>
      </c>
      <c r="J23">
        <f t="shared" si="7"/>
        <v>4</v>
      </c>
      <c r="K23">
        <f t="shared" si="8"/>
        <v>31.869999999999997</v>
      </c>
      <c r="L23">
        <f t="shared" si="9"/>
        <v>54</v>
      </c>
    </row>
    <row r="24" spans="1:12" ht="15.75" customHeight="1" x14ac:dyDescent="0.25">
      <c r="A24" s="4">
        <v>13</v>
      </c>
      <c r="B24" s="5">
        <f t="shared" si="4"/>
        <v>45009</v>
      </c>
      <c r="C24" s="6">
        <v>10.76</v>
      </c>
      <c r="D24" s="18">
        <v>35.1</v>
      </c>
      <c r="E24">
        <v>65.900000000000006</v>
      </c>
      <c r="F24">
        <v>17.100000000000001</v>
      </c>
      <c r="G24" s="6">
        <v>35</v>
      </c>
      <c r="H24" s="8">
        <f t="shared" si="5"/>
        <v>10.76</v>
      </c>
      <c r="I24">
        <f t="shared" si="6"/>
        <v>35.1</v>
      </c>
      <c r="J24">
        <f t="shared" si="7"/>
        <v>65.900000000000006</v>
      </c>
      <c r="K24">
        <f t="shared" si="8"/>
        <v>17.100000000000001</v>
      </c>
      <c r="L24">
        <f t="shared" si="9"/>
        <v>35</v>
      </c>
    </row>
    <row r="25" spans="1:12" ht="15.75" customHeight="1" x14ac:dyDescent="0.25">
      <c r="A25" s="4">
        <v>14</v>
      </c>
      <c r="B25" s="5">
        <f t="shared" si="4"/>
        <v>45010</v>
      </c>
      <c r="C25" s="6">
        <v>26.5</v>
      </c>
      <c r="D25" s="18">
        <v>7.6</v>
      </c>
      <c r="E25">
        <v>7.2</v>
      </c>
      <c r="F25">
        <v>17.100000000000001</v>
      </c>
      <c r="G25" s="6">
        <v>77</v>
      </c>
      <c r="H25" s="8">
        <f t="shared" si="5"/>
        <v>26.5</v>
      </c>
      <c r="I25">
        <f t="shared" si="6"/>
        <v>7.6</v>
      </c>
      <c r="J25">
        <f t="shared" si="7"/>
        <v>7.2</v>
      </c>
      <c r="K25">
        <f t="shared" si="8"/>
        <v>17.100000000000001</v>
      </c>
      <c r="L25">
        <f t="shared" si="9"/>
        <v>77</v>
      </c>
    </row>
    <row r="26" spans="1:12" ht="15.75" customHeight="1" x14ac:dyDescent="0.25">
      <c r="A26" s="4">
        <v>15</v>
      </c>
      <c r="B26" s="5">
        <f t="shared" si="4"/>
        <v>45011</v>
      </c>
      <c r="C26" s="6">
        <v>44.82</v>
      </c>
      <c r="D26" s="18">
        <v>32.9</v>
      </c>
      <c r="E26">
        <v>46</v>
      </c>
      <c r="F26">
        <v>18.459999999999997</v>
      </c>
      <c r="G26" s="6">
        <v>93</v>
      </c>
      <c r="H26" s="8">
        <f t="shared" si="5"/>
        <v>44.82</v>
      </c>
      <c r="I26">
        <f t="shared" si="6"/>
        <v>32.9</v>
      </c>
      <c r="J26">
        <f t="shared" si="7"/>
        <v>46</v>
      </c>
      <c r="K26">
        <f t="shared" si="8"/>
        <v>18.459999999999997</v>
      </c>
      <c r="L26">
        <f t="shared" si="9"/>
        <v>93</v>
      </c>
    </row>
    <row r="27" spans="1:12" ht="15.75" customHeight="1" x14ac:dyDescent="0.25">
      <c r="A27" s="4">
        <v>16</v>
      </c>
      <c r="B27" s="5">
        <f t="shared" si="4"/>
        <v>45012</v>
      </c>
      <c r="C27" s="6">
        <v>42.08</v>
      </c>
      <c r="D27" s="18">
        <v>47.7</v>
      </c>
      <c r="E27">
        <v>52.9</v>
      </c>
      <c r="F27">
        <v>22.23</v>
      </c>
      <c r="G27" s="6">
        <v>98</v>
      </c>
      <c r="H27" s="8">
        <f t="shared" si="5"/>
        <v>42.08</v>
      </c>
      <c r="I27">
        <f t="shared" si="6"/>
        <v>47.7</v>
      </c>
      <c r="J27">
        <f t="shared" si="7"/>
        <v>52.9</v>
      </c>
      <c r="K27">
        <f t="shared" si="8"/>
        <v>22.23</v>
      </c>
      <c r="L27">
        <f t="shared" si="9"/>
        <v>98</v>
      </c>
    </row>
    <row r="28" spans="1:12" ht="15.75" customHeight="1" x14ac:dyDescent="0.25">
      <c r="A28" s="4">
        <v>17</v>
      </c>
      <c r="B28" s="5">
        <f t="shared" si="4"/>
        <v>45013</v>
      </c>
      <c r="C28" s="6">
        <v>89.06</v>
      </c>
      <c r="D28" s="18">
        <v>36.6</v>
      </c>
      <c r="E28">
        <v>93.625</v>
      </c>
      <c r="F28">
        <v>23.379999999999995</v>
      </c>
      <c r="G28" s="6">
        <v>95</v>
      </c>
      <c r="H28" s="8">
        <f t="shared" si="5"/>
        <v>89.06</v>
      </c>
      <c r="I28">
        <f t="shared" si="6"/>
        <v>36.6</v>
      </c>
      <c r="J28">
        <f t="shared" si="7"/>
        <v>93.625</v>
      </c>
      <c r="K28">
        <f t="shared" si="8"/>
        <v>23.379999999999995</v>
      </c>
      <c r="L28">
        <f t="shared" si="9"/>
        <v>95</v>
      </c>
    </row>
    <row r="29" spans="1:12" ht="15.75" customHeight="1" x14ac:dyDescent="0.25">
      <c r="A29" s="4">
        <v>18</v>
      </c>
      <c r="B29" s="5">
        <f t="shared" si="4"/>
        <v>45014</v>
      </c>
      <c r="C29" s="6">
        <v>62.279999999999994</v>
      </c>
      <c r="D29" s="18">
        <v>39.6</v>
      </c>
      <c r="E29">
        <v>55.8</v>
      </c>
      <c r="F29">
        <v>25.619999999999997</v>
      </c>
      <c r="G29" s="6">
        <v>122</v>
      </c>
      <c r="H29" s="8">
        <f t="shared" si="5"/>
        <v>62.279999999999994</v>
      </c>
      <c r="I29">
        <f t="shared" si="6"/>
        <v>39.6</v>
      </c>
      <c r="J29">
        <f t="shared" si="7"/>
        <v>55.8</v>
      </c>
      <c r="K29">
        <f t="shared" si="8"/>
        <v>25.619999999999997</v>
      </c>
      <c r="L29">
        <f t="shared" si="9"/>
        <v>122</v>
      </c>
    </row>
    <row r="30" spans="1:12" ht="15.75" customHeight="1" x14ac:dyDescent="0.25">
      <c r="A30" s="4">
        <v>19</v>
      </c>
      <c r="B30" s="5">
        <f t="shared" si="4"/>
        <v>45015</v>
      </c>
      <c r="C30" s="6">
        <v>14.84</v>
      </c>
      <c r="D30" s="18">
        <v>20.5</v>
      </c>
      <c r="E30">
        <v>18.3</v>
      </c>
      <c r="F30">
        <v>9.8500000000000014</v>
      </c>
      <c r="G30" s="6">
        <v>90</v>
      </c>
      <c r="H30" s="8">
        <f t="shared" si="5"/>
        <v>14.84</v>
      </c>
      <c r="I30">
        <f t="shared" si="6"/>
        <v>20.5</v>
      </c>
      <c r="J30">
        <f t="shared" si="7"/>
        <v>18.3</v>
      </c>
      <c r="K30">
        <f t="shared" si="8"/>
        <v>9.8500000000000014</v>
      </c>
      <c r="L30">
        <f t="shared" si="9"/>
        <v>90</v>
      </c>
    </row>
    <row r="31" spans="1:12" ht="15.75" customHeight="1" x14ac:dyDescent="0.25">
      <c r="A31" s="4">
        <v>20</v>
      </c>
      <c r="B31" s="5">
        <f t="shared" si="4"/>
        <v>45016</v>
      </c>
      <c r="C31" s="6">
        <v>32.46</v>
      </c>
      <c r="D31" s="18">
        <v>23.9</v>
      </c>
      <c r="E31">
        <v>19.100000000000001</v>
      </c>
      <c r="F31">
        <v>19.04</v>
      </c>
      <c r="G31" s="6">
        <v>95</v>
      </c>
      <c r="H31" s="8">
        <f t="shared" si="5"/>
        <v>32.46</v>
      </c>
      <c r="I31">
        <f t="shared" si="6"/>
        <v>23.9</v>
      </c>
      <c r="J31">
        <f t="shared" si="7"/>
        <v>19.100000000000001</v>
      </c>
      <c r="K31">
        <f t="shared" si="8"/>
        <v>19.04</v>
      </c>
      <c r="L31">
        <f t="shared" si="9"/>
        <v>95</v>
      </c>
    </row>
    <row r="32" spans="1:12" ht="15.75" customHeight="1" x14ac:dyDescent="0.25">
      <c r="A32" s="4">
        <v>21</v>
      </c>
      <c r="B32" s="5">
        <f t="shared" si="4"/>
        <v>45017</v>
      </c>
      <c r="C32" s="6">
        <v>46.68</v>
      </c>
      <c r="D32" s="18">
        <v>27.7</v>
      </c>
      <c r="E32">
        <v>53.4</v>
      </c>
      <c r="F32">
        <v>14.329999999999998</v>
      </c>
      <c r="G32" s="6">
        <v>90</v>
      </c>
      <c r="H32" s="8">
        <f t="shared" si="5"/>
        <v>46.68</v>
      </c>
      <c r="I32">
        <f t="shared" si="6"/>
        <v>27.7</v>
      </c>
      <c r="J32">
        <f t="shared" si="7"/>
        <v>53.4</v>
      </c>
      <c r="K32">
        <f t="shared" si="8"/>
        <v>14.329999999999998</v>
      </c>
      <c r="L32">
        <f t="shared" si="9"/>
        <v>90</v>
      </c>
    </row>
    <row r="33" spans="1:12" ht="15.75" customHeight="1" x14ac:dyDescent="0.25">
      <c r="A33" s="4">
        <v>22</v>
      </c>
      <c r="B33" s="5">
        <f t="shared" si="4"/>
        <v>45018</v>
      </c>
      <c r="C33" s="6">
        <v>48.480000000000004</v>
      </c>
      <c r="D33" s="23">
        <v>123</v>
      </c>
      <c r="E33">
        <v>23.5</v>
      </c>
      <c r="F33">
        <v>16.89</v>
      </c>
      <c r="G33" s="6">
        <v>89</v>
      </c>
      <c r="H33" s="8">
        <f t="shared" si="5"/>
        <v>48.480000000000004</v>
      </c>
      <c r="I33">
        <f t="shared" si="6"/>
        <v>76.949999999999989</v>
      </c>
      <c r="J33">
        <f t="shared" si="7"/>
        <v>23.5</v>
      </c>
      <c r="K33">
        <f t="shared" si="8"/>
        <v>16.89</v>
      </c>
      <c r="L33">
        <f t="shared" si="9"/>
        <v>89</v>
      </c>
    </row>
    <row r="34" spans="1:12" ht="15.75" customHeight="1" x14ac:dyDescent="0.25">
      <c r="A34" s="4">
        <v>23</v>
      </c>
      <c r="B34" s="5">
        <f t="shared" si="4"/>
        <v>45019</v>
      </c>
      <c r="C34" s="6">
        <v>11.64</v>
      </c>
      <c r="D34" s="18">
        <v>15.9</v>
      </c>
      <c r="E34">
        <v>49.6</v>
      </c>
      <c r="F34">
        <v>9.4299999999999962</v>
      </c>
      <c r="G34" s="6">
        <v>85</v>
      </c>
      <c r="H34" s="8">
        <f t="shared" si="5"/>
        <v>11.64</v>
      </c>
      <c r="I34">
        <f t="shared" si="6"/>
        <v>15.9</v>
      </c>
      <c r="J34">
        <f t="shared" si="7"/>
        <v>49.6</v>
      </c>
      <c r="K34">
        <f t="shared" si="8"/>
        <v>9.4299999999999962</v>
      </c>
      <c r="L34">
        <f t="shared" si="9"/>
        <v>85</v>
      </c>
    </row>
    <row r="35" spans="1:12" ht="15.75" customHeight="1" x14ac:dyDescent="0.25">
      <c r="A35" s="4">
        <v>24</v>
      </c>
      <c r="B35" s="5">
        <f t="shared" si="4"/>
        <v>45020</v>
      </c>
      <c r="C35" s="6">
        <v>49.660000000000004</v>
      </c>
      <c r="D35" s="18">
        <v>16.899999999999999</v>
      </c>
      <c r="E35">
        <v>26.2</v>
      </c>
      <c r="F35">
        <v>20.8</v>
      </c>
      <c r="G35" s="6">
        <v>105</v>
      </c>
      <c r="H35" s="8">
        <f t="shared" si="5"/>
        <v>49.660000000000004</v>
      </c>
      <c r="I35">
        <f t="shared" si="6"/>
        <v>16.899999999999999</v>
      </c>
      <c r="J35">
        <f t="shared" si="7"/>
        <v>26.2</v>
      </c>
      <c r="K35">
        <f t="shared" si="8"/>
        <v>20.8</v>
      </c>
      <c r="L35">
        <f t="shared" si="9"/>
        <v>105</v>
      </c>
    </row>
    <row r="36" spans="1:12" ht="15.75" customHeight="1" x14ac:dyDescent="0.25">
      <c r="A36" s="4">
        <v>25</v>
      </c>
      <c r="B36" s="5">
        <f t="shared" si="4"/>
        <v>45021</v>
      </c>
      <c r="C36" s="6">
        <v>20.46</v>
      </c>
      <c r="D36" s="18">
        <v>12.6</v>
      </c>
      <c r="E36">
        <v>18.3</v>
      </c>
      <c r="F36">
        <v>5.2099999999999991</v>
      </c>
      <c r="G36" s="6">
        <v>62</v>
      </c>
      <c r="H36" s="8">
        <f t="shared" si="5"/>
        <v>20.46</v>
      </c>
      <c r="I36">
        <f t="shared" si="6"/>
        <v>12.6</v>
      </c>
      <c r="J36">
        <f t="shared" si="7"/>
        <v>18.3</v>
      </c>
      <c r="K36">
        <f t="shared" si="8"/>
        <v>5.2099999999999991</v>
      </c>
      <c r="L36">
        <f t="shared" si="9"/>
        <v>62</v>
      </c>
    </row>
    <row r="37" spans="1:12" ht="15.75" customHeight="1" x14ac:dyDescent="0.25">
      <c r="A37" s="4">
        <v>26</v>
      </c>
      <c r="B37" s="5">
        <f t="shared" si="4"/>
        <v>45022</v>
      </c>
      <c r="C37" s="6">
        <v>59.58</v>
      </c>
      <c r="D37" s="18">
        <v>3.5</v>
      </c>
      <c r="E37">
        <v>19.5</v>
      </c>
      <c r="F37">
        <v>20.239999999999998</v>
      </c>
      <c r="G37" s="6">
        <v>96</v>
      </c>
      <c r="H37" s="8">
        <f t="shared" si="5"/>
        <v>59.58</v>
      </c>
      <c r="I37">
        <f t="shared" si="6"/>
        <v>3.5</v>
      </c>
      <c r="J37">
        <f t="shared" si="7"/>
        <v>19.5</v>
      </c>
      <c r="K37">
        <f t="shared" si="8"/>
        <v>20.239999999999998</v>
      </c>
      <c r="L37">
        <f t="shared" si="9"/>
        <v>96</v>
      </c>
    </row>
    <row r="38" spans="1:12" ht="15.75" customHeight="1" x14ac:dyDescent="0.25">
      <c r="A38" s="4">
        <v>27</v>
      </c>
      <c r="B38" s="5">
        <f t="shared" si="4"/>
        <v>45023</v>
      </c>
      <c r="C38" s="6">
        <v>38.58</v>
      </c>
      <c r="D38" s="18">
        <v>29.3</v>
      </c>
      <c r="E38">
        <v>12.6</v>
      </c>
      <c r="F38">
        <v>23.900000000000002</v>
      </c>
      <c r="G38" s="6">
        <v>83</v>
      </c>
      <c r="H38" s="8">
        <f t="shared" si="5"/>
        <v>38.58</v>
      </c>
      <c r="I38">
        <f t="shared" si="6"/>
        <v>29.3</v>
      </c>
      <c r="J38">
        <f t="shared" si="7"/>
        <v>12.6</v>
      </c>
      <c r="K38">
        <f t="shared" si="8"/>
        <v>23.900000000000002</v>
      </c>
      <c r="L38">
        <f t="shared" si="9"/>
        <v>83</v>
      </c>
    </row>
    <row r="39" spans="1:12" ht="15.75" customHeight="1" x14ac:dyDescent="0.25">
      <c r="A39" s="4">
        <v>28</v>
      </c>
      <c r="B39" s="5">
        <f t="shared" si="4"/>
        <v>45024</v>
      </c>
      <c r="C39" s="6">
        <v>49.019999999999996</v>
      </c>
      <c r="D39" s="18">
        <v>16.7</v>
      </c>
      <c r="E39">
        <v>22.9</v>
      </c>
      <c r="F39">
        <v>23.2</v>
      </c>
      <c r="G39" s="6">
        <v>123</v>
      </c>
      <c r="H39" s="8">
        <f t="shared" si="5"/>
        <v>49.019999999999996</v>
      </c>
      <c r="I39">
        <f t="shared" si="6"/>
        <v>16.7</v>
      </c>
      <c r="J39">
        <f t="shared" si="7"/>
        <v>22.9</v>
      </c>
      <c r="K39">
        <f t="shared" si="8"/>
        <v>23.2</v>
      </c>
      <c r="L39">
        <f t="shared" si="9"/>
        <v>123</v>
      </c>
    </row>
    <row r="40" spans="1:12" ht="15.75" customHeight="1" x14ac:dyDescent="0.25">
      <c r="A40" s="4">
        <v>29</v>
      </c>
      <c r="B40" s="5">
        <f t="shared" si="4"/>
        <v>45025</v>
      </c>
      <c r="C40" s="6">
        <v>52.760000000000005</v>
      </c>
      <c r="D40" s="18">
        <v>27.1</v>
      </c>
      <c r="E40">
        <v>22.9</v>
      </c>
      <c r="F40">
        <v>29.270000000000007</v>
      </c>
      <c r="G40" s="6">
        <v>124</v>
      </c>
      <c r="H40" s="8">
        <f t="shared" si="5"/>
        <v>52.760000000000005</v>
      </c>
      <c r="I40">
        <f t="shared" si="6"/>
        <v>27.1</v>
      </c>
      <c r="J40">
        <f t="shared" si="7"/>
        <v>22.9</v>
      </c>
      <c r="K40">
        <f t="shared" si="8"/>
        <v>29.270000000000007</v>
      </c>
      <c r="L40">
        <f t="shared" si="9"/>
        <v>124</v>
      </c>
    </row>
    <row r="41" spans="1:12" ht="15.75" customHeight="1" x14ac:dyDescent="0.25">
      <c r="A41" s="4">
        <v>30</v>
      </c>
      <c r="B41" s="5">
        <f t="shared" si="4"/>
        <v>45026</v>
      </c>
      <c r="C41" s="6">
        <v>15.12</v>
      </c>
      <c r="D41" s="18">
        <v>16</v>
      </c>
      <c r="E41">
        <v>40.799999999999997</v>
      </c>
      <c r="F41">
        <v>18.739999999999998</v>
      </c>
      <c r="G41" s="6">
        <v>111</v>
      </c>
      <c r="H41" s="8">
        <f t="shared" si="5"/>
        <v>15.12</v>
      </c>
      <c r="I41">
        <f t="shared" si="6"/>
        <v>16</v>
      </c>
      <c r="J41">
        <f t="shared" si="7"/>
        <v>40.799999999999997</v>
      </c>
      <c r="K41">
        <f t="shared" si="8"/>
        <v>18.739999999999998</v>
      </c>
      <c r="L41">
        <f t="shared" si="9"/>
        <v>111</v>
      </c>
    </row>
    <row r="42" spans="1:12" ht="15.75" customHeight="1" x14ac:dyDescent="0.25">
      <c r="A42" s="4">
        <v>31</v>
      </c>
      <c r="B42" s="5">
        <f t="shared" si="4"/>
        <v>45027</v>
      </c>
      <c r="C42" s="6">
        <v>59.58</v>
      </c>
      <c r="D42" s="18">
        <v>28.3</v>
      </c>
      <c r="E42">
        <v>43.2</v>
      </c>
      <c r="F42">
        <v>26.159999999999997</v>
      </c>
      <c r="G42" s="6">
        <v>114</v>
      </c>
      <c r="H42" s="8">
        <f t="shared" si="5"/>
        <v>59.58</v>
      </c>
      <c r="I42">
        <f t="shared" si="6"/>
        <v>28.3</v>
      </c>
      <c r="J42">
        <f t="shared" si="7"/>
        <v>43.2</v>
      </c>
      <c r="K42">
        <f t="shared" si="8"/>
        <v>26.159999999999997</v>
      </c>
      <c r="L42">
        <f t="shared" si="9"/>
        <v>114</v>
      </c>
    </row>
    <row r="43" spans="1:12" ht="15.75" customHeight="1" x14ac:dyDescent="0.25">
      <c r="A43" s="4">
        <v>32</v>
      </c>
      <c r="B43" s="5">
        <f t="shared" si="4"/>
        <v>45028</v>
      </c>
      <c r="C43" s="6">
        <v>92.987500000000011</v>
      </c>
      <c r="D43" s="18">
        <v>17.399999999999999</v>
      </c>
      <c r="E43">
        <v>38.6</v>
      </c>
      <c r="F43">
        <v>37.253750000000011</v>
      </c>
      <c r="G43" s="6">
        <v>91</v>
      </c>
      <c r="H43" s="8">
        <f t="shared" si="5"/>
        <v>92.987500000000011</v>
      </c>
      <c r="I43">
        <f t="shared" si="6"/>
        <v>17.399999999999999</v>
      </c>
      <c r="J43">
        <f t="shared" si="7"/>
        <v>38.6</v>
      </c>
      <c r="K43">
        <f t="shared" si="8"/>
        <v>37.253750000000011</v>
      </c>
      <c r="L43">
        <f t="shared" si="9"/>
        <v>91</v>
      </c>
    </row>
    <row r="44" spans="1:12" ht="15.75" customHeight="1" x14ac:dyDescent="0.25">
      <c r="A44" s="4">
        <v>33</v>
      </c>
      <c r="B44" s="5">
        <f t="shared" ref="B44:B75" si="10">+B45-1</f>
        <v>45029</v>
      </c>
      <c r="C44" s="6">
        <v>20.440000000000001</v>
      </c>
      <c r="D44" s="18">
        <v>1.5</v>
      </c>
      <c r="E44">
        <v>30</v>
      </c>
      <c r="F44">
        <v>18.47</v>
      </c>
      <c r="G44" s="6">
        <v>124</v>
      </c>
      <c r="H44" s="8">
        <f t="shared" si="5"/>
        <v>20.440000000000001</v>
      </c>
      <c r="I44">
        <f t="shared" si="6"/>
        <v>1.5</v>
      </c>
      <c r="J44">
        <f t="shared" si="7"/>
        <v>30</v>
      </c>
      <c r="K44">
        <f t="shared" si="8"/>
        <v>18.47</v>
      </c>
      <c r="L44">
        <f t="shared" si="9"/>
        <v>124</v>
      </c>
    </row>
    <row r="45" spans="1:12" ht="15.75" customHeight="1" x14ac:dyDescent="0.25">
      <c r="A45" s="4">
        <v>34</v>
      </c>
      <c r="B45" s="5">
        <f t="shared" si="10"/>
        <v>45030</v>
      </c>
      <c r="C45" s="6">
        <v>61.120000000000005</v>
      </c>
      <c r="D45" s="18">
        <v>20</v>
      </c>
      <c r="E45">
        <v>0.3</v>
      </c>
      <c r="F45">
        <v>36.440000000000005</v>
      </c>
      <c r="G45" s="6">
        <v>74</v>
      </c>
      <c r="H45" s="8">
        <f t="shared" si="5"/>
        <v>61.120000000000005</v>
      </c>
      <c r="I45">
        <f t="shared" si="6"/>
        <v>20</v>
      </c>
      <c r="J45">
        <f t="shared" si="7"/>
        <v>0.3</v>
      </c>
      <c r="K45">
        <f t="shared" si="8"/>
        <v>36.440000000000005</v>
      </c>
      <c r="L45">
        <f t="shared" si="9"/>
        <v>74</v>
      </c>
    </row>
    <row r="46" spans="1:12" ht="15.75" customHeight="1" x14ac:dyDescent="0.25">
      <c r="A46" s="4">
        <v>35</v>
      </c>
      <c r="B46" s="5">
        <f t="shared" si="10"/>
        <v>45031</v>
      </c>
      <c r="C46" s="6">
        <v>24.14</v>
      </c>
      <c r="D46" s="18">
        <v>1.4</v>
      </c>
      <c r="E46">
        <v>7.4</v>
      </c>
      <c r="F46">
        <v>7.3099999999999987</v>
      </c>
      <c r="G46" s="6">
        <v>127</v>
      </c>
      <c r="H46" s="8">
        <f t="shared" si="5"/>
        <v>24.14</v>
      </c>
      <c r="I46">
        <f t="shared" si="6"/>
        <v>1.4</v>
      </c>
      <c r="J46">
        <f t="shared" si="7"/>
        <v>7.4</v>
      </c>
      <c r="K46">
        <f t="shared" si="8"/>
        <v>7.3099999999999987</v>
      </c>
      <c r="L46">
        <f t="shared" si="9"/>
        <v>127</v>
      </c>
    </row>
    <row r="47" spans="1:12" ht="15.75" customHeight="1" x14ac:dyDescent="0.25">
      <c r="A47" s="4">
        <v>36</v>
      </c>
      <c r="B47" s="5">
        <f t="shared" si="10"/>
        <v>45032</v>
      </c>
      <c r="C47" s="6">
        <v>62.14</v>
      </c>
      <c r="D47" s="18">
        <v>4.0999999999999996</v>
      </c>
      <c r="E47">
        <v>8.5</v>
      </c>
      <c r="F47">
        <v>27.72</v>
      </c>
      <c r="G47" s="6">
        <v>123</v>
      </c>
      <c r="H47" s="8">
        <f t="shared" si="5"/>
        <v>62.14</v>
      </c>
      <c r="I47">
        <f t="shared" si="6"/>
        <v>4.0999999999999996</v>
      </c>
      <c r="J47">
        <f t="shared" si="7"/>
        <v>8.5</v>
      </c>
      <c r="K47">
        <f t="shared" si="8"/>
        <v>27.72</v>
      </c>
      <c r="L47">
        <f t="shared" si="9"/>
        <v>123</v>
      </c>
    </row>
    <row r="48" spans="1:12" ht="15.75" customHeight="1" x14ac:dyDescent="0.25">
      <c r="A48" s="4">
        <v>37</v>
      </c>
      <c r="B48" s="5">
        <f t="shared" si="10"/>
        <v>45033</v>
      </c>
      <c r="C48" s="6">
        <v>56.379999999999995</v>
      </c>
      <c r="D48" s="18">
        <v>43.8</v>
      </c>
      <c r="E48">
        <v>5</v>
      </c>
      <c r="F48" s="24">
        <v>46.589999999999996</v>
      </c>
      <c r="G48" s="6">
        <v>104</v>
      </c>
      <c r="H48" s="8">
        <f t="shared" si="5"/>
        <v>56.379999999999995</v>
      </c>
      <c r="I48">
        <f t="shared" si="6"/>
        <v>43.8</v>
      </c>
      <c r="J48">
        <f t="shared" si="7"/>
        <v>5</v>
      </c>
      <c r="K48">
        <f t="shared" si="8"/>
        <v>41.756249999999994</v>
      </c>
      <c r="L48">
        <f t="shared" si="9"/>
        <v>104</v>
      </c>
    </row>
    <row r="49" spans="1:12" ht="15.75" customHeight="1" x14ac:dyDescent="0.25">
      <c r="A49" s="4">
        <v>38</v>
      </c>
      <c r="B49" s="5">
        <f t="shared" si="10"/>
        <v>45034</v>
      </c>
      <c r="C49" s="6">
        <v>24.94</v>
      </c>
      <c r="D49" s="18">
        <v>49.4</v>
      </c>
      <c r="E49">
        <v>45.7</v>
      </c>
      <c r="F49">
        <v>13.89</v>
      </c>
      <c r="G49" s="6">
        <v>106</v>
      </c>
      <c r="H49" s="8">
        <f t="shared" si="5"/>
        <v>24.94</v>
      </c>
      <c r="I49">
        <f t="shared" si="6"/>
        <v>49.4</v>
      </c>
      <c r="J49">
        <f t="shared" si="7"/>
        <v>45.7</v>
      </c>
      <c r="K49">
        <f t="shared" si="8"/>
        <v>13.89</v>
      </c>
      <c r="L49">
        <f t="shared" si="9"/>
        <v>106</v>
      </c>
    </row>
    <row r="50" spans="1:12" ht="15.75" customHeight="1" x14ac:dyDescent="0.25">
      <c r="A50" s="4">
        <v>39</v>
      </c>
      <c r="B50" s="5">
        <f t="shared" si="10"/>
        <v>45035</v>
      </c>
      <c r="C50" s="6">
        <v>14.620000000000001</v>
      </c>
      <c r="D50" s="18">
        <v>26.7</v>
      </c>
      <c r="E50">
        <v>35.1</v>
      </c>
      <c r="F50">
        <v>3.6199999999999992</v>
      </c>
      <c r="G50" s="6">
        <v>110</v>
      </c>
      <c r="H50" s="8">
        <f t="shared" si="5"/>
        <v>14.620000000000001</v>
      </c>
      <c r="I50">
        <f t="shared" si="6"/>
        <v>26.7</v>
      </c>
      <c r="J50">
        <f t="shared" si="7"/>
        <v>35.1</v>
      </c>
      <c r="K50">
        <f t="shared" si="8"/>
        <v>3.6199999999999992</v>
      </c>
      <c r="L50">
        <f t="shared" si="9"/>
        <v>110</v>
      </c>
    </row>
    <row r="51" spans="1:12" ht="15.75" customHeight="1" x14ac:dyDescent="0.25">
      <c r="A51" s="4">
        <v>40</v>
      </c>
      <c r="B51" s="5">
        <f t="shared" si="10"/>
        <v>45036</v>
      </c>
      <c r="C51" s="6">
        <v>53.6</v>
      </c>
      <c r="D51" s="18">
        <v>37.700000000000003</v>
      </c>
      <c r="E51">
        <v>32</v>
      </c>
      <c r="F51">
        <v>28.850000000000005</v>
      </c>
      <c r="G51" s="6">
        <v>114</v>
      </c>
      <c r="H51" s="8">
        <f t="shared" si="5"/>
        <v>53.6</v>
      </c>
      <c r="I51">
        <f t="shared" si="6"/>
        <v>37.700000000000003</v>
      </c>
      <c r="J51">
        <f t="shared" si="7"/>
        <v>32</v>
      </c>
      <c r="K51">
        <f t="shared" si="8"/>
        <v>28.850000000000005</v>
      </c>
      <c r="L51">
        <f t="shared" si="9"/>
        <v>114</v>
      </c>
    </row>
    <row r="52" spans="1:12" ht="15.75" customHeight="1" x14ac:dyDescent="0.25">
      <c r="A52" s="4">
        <v>41</v>
      </c>
      <c r="B52" s="5">
        <f t="shared" si="10"/>
        <v>45037</v>
      </c>
      <c r="C52" s="6">
        <v>45.5</v>
      </c>
      <c r="D52" s="18">
        <v>22.3</v>
      </c>
      <c r="E52">
        <v>31.6</v>
      </c>
      <c r="F52">
        <v>18.759999999999998</v>
      </c>
      <c r="G52" s="6">
        <v>83</v>
      </c>
      <c r="H52" s="8">
        <f t="shared" si="5"/>
        <v>45.5</v>
      </c>
      <c r="I52">
        <f t="shared" si="6"/>
        <v>22.3</v>
      </c>
      <c r="J52">
        <f t="shared" si="7"/>
        <v>31.6</v>
      </c>
      <c r="K52">
        <f t="shared" si="8"/>
        <v>18.759999999999998</v>
      </c>
      <c r="L52">
        <f t="shared" si="9"/>
        <v>83</v>
      </c>
    </row>
    <row r="53" spans="1:12" ht="15.75" customHeight="1" x14ac:dyDescent="0.25">
      <c r="A53" s="4">
        <v>42</v>
      </c>
      <c r="B53" s="5">
        <f t="shared" si="10"/>
        <v>45038</v>
      </c>
      <c r="C53" s="6">
        <v>40.4</v>
      </c>
      <c r="D53" s="18">
        <v>33.4</v>
      </c>
      <c r="E53">
        <v>38.700000000000003</v>
      </c>
      <c r="F53">
        <v>18.919999999999995</v>
      </c>
      <c r="G53" s="6">
        <v>128</v>
      </c>
      <c r="H53" s="8">
        <f t="shared" si="5"/>
        <v>40.4</v>
      </c>
      <c r="I53">
        <f t="shared" si="6"/>
        <v>33.4</v>
      </c>
      <c r="J53">
        <f t="shared" si="7"/>
        <v>38.700000000000003</v>
      </c>
      <c r="K53">
        <f t="shared" si="8"/>
        <v>18.919999999999995</v>
      </c>
      <c r="L53">
        <f t="shared" si="9"/>
        <v>128</v>
      </c>
    </row>
    <row r="54" spans="1:12" ht="15.75" customHeight="1" x14ac:dyDescent="0.25">
      <c r="A54" s="4">
        <v>43</v>
      </c>
      <c r="B54" s="5">
        <f t="shared" si="10"/>
        <v>45039</v>
      </c>
      <c r="C54" s="6">
        <v>67.72</v>
      </c>
      <c r="D54" s="18">
        <v>27.7</v>
      </c>
      <c r="E54">
        <v>1.8</v>
      </c>
      <c r="F54">
        <v>42.49</v>
      </c>
      <c r="G54" s="6">
        <v>105</v>
      </c>
      <c r="H54" s="8">
        <f t="shared" si="5"/>
        <v>67.72</v>
      </c>
      <c r="I54">
        <f t="shared" si="6"/>
        <v>27.7</v>
      </c>
      <c r="J54">
        <f t="shared" si="7"/>
        <v>1.8</v>
      </c>
      <c r="K54">
        <f t="shared" si="8"/>
        <v>41.756249999999994</v>
      </c>
      <c r="L54">
        <f t="shared" si="9"/>
        <v>105</v>
      </c>
    </row>
    <row r="55" spans="1:12" ht="15.75" customHeight="1" x14ac:dyDescent="0.25">
      <c r="A55" s="4">
        <v>44</v>
      </c>
      <c r="B55" s="5">
        <f t="shared" si="10"/>
        <v>45040</v>
      </c>
      <c r="C55" s="6">
        <v>51.38</v>
      </c>
      <c r="D55" s="18">
        <v>8.4</v>
      </c>
      <c r="E55">
        <v>26.4</v>
      </c>
      <c r="F55">
        <v>14.33</v>
      </c>
      <c r="G55" s="6">
        <v>126</v>
      </c>
      <c r="H55" s="8">
        <f t="shared" si="5"/>
        <v>51.38</v>
      </c>
      <c r="I55">
        <f t="shared" si="6"/>
        <v>8.4</v>
      </c>
      <c r="J55">
        <f t="shared" si="7"/>
        <v>26.4</v>
      </c>
      <c r="K55">
        <f t="shared" si="8"/>
        <v>14.33</v>
      </c>
      <c r="L55">
        <f t="shared" si="9"/>
        <v>126</v>
      </c>
    </row>
    <row r="56" spans="1:12" ht="15.75" customHeight="1" x14ac:dyDescent="0.25">
      <c r="A56" s="4">
        <v>45</v>
      </c>
      <c r="B56" s="5">
        <f t="shared" si="10"/>
        <v>45041</v>
      </c>
      <c r="C56" s="6">
        <v>12.02</v>
      </c>
      <c r="D56" s="18">
        <v>25.7</v>
      </c>
      <c r="E56">
        <v>43.3</v>
      </c>
      <c r="F56">
        <v>18.04</v>
      </c>
      <c r="G56" s="6">
        <v>152</v>
      </c>
      <c r="H56" s="8">
        <f t="shared" si="5"/>
        <v>12.02</v>
      </c>
      <c r="I56">
        <f t="shared" si="6"/>
        <v>25.7</v>
      </c>
      <c r="J56">
        <f t="shared" si="7"/>
        <v>43.3</v>
      </c>
      <c r="K56">
        <f t="shared" si="8"/>
        <v>18.04</v>
      </c>
      <c r="L56">
        <f t="shared" si="9"/>
        <v>152</v>
      </c>
    </row>
    <row r="57" spans="1:12" ht="15.75" customHeight="1" x14ac:dyDescent="0.25">
      <c r="A57" s="4">
        <v>46</v>
      </c>
      <c r="B57" s="5">
        <f t="shared" si="10"/>
        <v>45042</v>
      </c>
      <c r="C57" s="6">
        <v>42.019999999999996</v>
      </c>
      <c r="D57" s="18">
        <v>22.5</v>
      </c>
      <c r="E57">
        <v>31.5</v>
      </c>
      <c r="F57">
        <v>16.159999999999997</v>
      </c>
      <c r="G57" s="6">
        <v>116</v>
      </c>
      <c r="H57" s="8">
        <f t="shared" si="5"/>
        <v>42.019999999999996</v>
      </c>
      <c r="I57">
        <f t="shared" si="6"/>
        <v>22.5</v>
      </c>
      <c r="J57">
        <f t="shared" si="7"/>
        <v>31.5</v>
      </c>
      <c r="K57">
        <f t="shared" si="8"/>
        <v>16.159999999999997</v>
      </c>
      <c r="L57">
        <f t="shared" si="9"/>
        <v>116</v>
      </c>
    </row>
    <row r="58" spans="1:12" ht="15.75" customHeight="1" x14ac:dyDescent="0.25">
      <c r="A58" s="4">
        <v>47</v>
      </c>
      <c r="B58" s="5">
        <f t="shared" si="10"/>
        <v>45043</v>
      </c>
      <c r="C58" s="6">
        <v>18.940000000000001</v>
      </c>
      <c r="D58" s="18">
        <v>9.9</v>
      </c>
      <c r="E58">
        <v>35.700000000000003</v>
      </c>
      <c r="F58">
        <v>19.64</v>
      </c>
      <c r="G58" s="6">
        <v>119</v>
      </c>
      <c r="H58" s="8">
        <f t="shared" si="5"/>
        <v>18.940000000000001</v>
      </c>
      <c r="I58">
        <f t="shared" si="6"/>
        <v>9.9</v>
      </c>
      <c r="J58">
        <f t="shared" si="7"/>
        <v>35.700000000000003</v>
      </c>
      <c r="K58">
        <f t="shared" si="8"/>
        <v>19.64</v>
      </c>
      <c r="L58">
        <f t="shared" si="9"/>
        <v>119</v>
      </c>
    </row>
    <row r="59" spans="1:12" ht="15.75" customHeight="1" x14ac:dyDescent="0.25">
      <c r="A59" s="4">
        <v>48</v>
      </c>
      <c r="B59" s="5">
        <f t="shared" si="10"/>
        <v>45044</v>
      </c>
      <c r="C59" s="6">
        <v>52.980000000000004</v>
      </c>
      <c r="D59" s="18">
        <v>41.5</v>
      </c>
      <c r="E59">
        <v>18.5</v>
      </c>
      <c r="F59">
        <v>37.340000000000003</v>
      </c>
      <c r="G59" s="6">
        <v>151</v>
      </c>
      <c r="H59" s="8">
        <f t="shared" si="5"/>
        <v>52.980000000000004</v>
      </c>
      <c r="I59">
        <f t="shared" si="6"/>
        <v>41.5</v>
      </c>
      <c r="J59">
        <f t="shared" si="7"/>
        <v>18.5</v>
      </c>
      <c r="K59">
        <f t="shared" si="8"/>
        <v>37.340000000000003</v>
      </c>
      <c r="L59">
        <f t="shared" si="9"/>
        <v>151</v>
      </c>
    </row>
    <row r="60" spans="1:12" ht="15.75" customHeight="1" x14ac:dyDescent="0.25">
      <c r="A60" s="4">
        <v>49</v>
      </c>
      <c r="B60" s="5">
        <f t="shared" si="10"/>
        <v>45045</v>
      </c>
      <c r="C60" s="6">
        <v>46.44</v>
      </c>
      <c r="D60" s="18">
        <v>15.8</v>
      </c>
      <c r="E60">
        <v>49.9</v>
      </c>
      <c r="F60">
        <v>10.659999999999997</v>
      </c>
      <c r="G60" s="6">
        <v>120</v>
      </c>
      <c r="H60" s="8">
        <f t="shared" si="5"/>
        <v>46.44</v>
      </c>
      <c r="I60">
        <f t="shared" si="6"/>
        <v>15.8</v>
      </c>
      <c r="J60">
        <f t="shared" si="7"/>
        <v>49.9</v>
      </c>
      <c r="K60">
        <f t="shared" si="8"/>
        <v>10.659999999999997</v>
      </c>
      <c r="L60">
        <f t="shared" si="9"/>
        <v>120</v>
      </c>
    </row>
    <row r="61" spans="1:12" ht="15.75" customHeight="1" x14ac:dyDescent="0.25">
      <c r="A61" s="4">
        <v>50</v>
      </c>
      <c r="B61" s="5">
        <f t="shared" si="10"/>
        <v>45046</v>
      </c>
      <c r="C61" s="6">
        <v>14.38</v>
      </c>
      <c r="D61" s="18">
        <v>11.7</v>
      </c>
      <c r="E61">
        <v>36.799999999999997</v>
      </c>
      <c r="F61">
        <v>17.82</v>
      </c>
      <c r="G61" s="6">
        <v>112</v>
      </c>
      <c r="H61" s="8">
        <f t="shared" si="5"/>
        <v>14.38</v>
      </c>
      <c r="I61">
        <f t="shared" si="6"/>
        <v>11.7</v>
      </c>
      <c r="J61">
        <f t="shared" si="7"/>
        <v>36.799999999999997</v>
      </c>
      <c r="K61">
        <f t="shared" si="8"/>
        <v>17.82</v>
      </c>
      <c r="L61">
        <f t="shared" si="9"/>
        <v>112</v>
      </c>
    </row>
    <row r="62" spans="1:12" ht="15.75" customHeight="1" x14ac:dyDescent="0.25">
      <c r="A62" s="4">
        <v>51</v>
      </c>
      <c r="B62" s="5">
        <f t="shared" si="10"/>
        <v>45047</v>
      </c>
      <c r="C62" s="6">
        <v>43.96</v>
      </c>
      <c r="D62" s="18">
        <v>3.1</v>
      </c>
      <c r="E62">
        <v>34.6</v>
      </c>
      <c r="F62">
        <v>7.6899999999999995</v>
      </c>
      <c r="G62" s="6">
        <v>110</v>
      </c>
      <c r="H62" s="8">
        <f t="shared" si="5"/>
        <v>43.96</v>
      </c>
      <c r="I62">
        <f t="shared" si="6"/>
        <v>3.1</v>
      </c>
      <c r="J62">
        <f t="shared" si="7"/>
        <v>34.6</v>
      </c>
      <c r="K62">
        <f t="shared" si="8"/>
        <v>7.6899999999999995</v>
      </c>
      <c r="L62">
        <f t="shared" si="9"/>
        <v>110</v>
      </c>
    </row>
    <row r="63" spans="1:12" ht="15.75" customHeight="1" x14ac:dyDescent="0.25">
      <c r="A63" s="4">
        <v>52</v>
      </c>
      <c r="B63" s="5">
        <f t="shared" si="10"/>
        <v>45048</v>
      </c>
      <c r="C63" s="6">
        <v>29.080000000000002</v>
      </c>
      <c r="D63" s="18">
        <v>9.6</v>
      </c>
      <c r="E63">
        <v>3.6</v>
      </c>
      <c r="F63">
        <v>13.4</v>
      </c>
      <c r="G63" s="6">
        <v>113</v>
      </c>
      <c r="H63" s="8">
        <f t="shared" si="5"/>
        <v>29.080000000000002</v>
      </c>
      <c r="I63">
        <f t="shared" si="6"/>
        <v>9.6</v>
      </c>
      <c r="J63">
        <f t="shared" si="7"/>
        <v>3.6</v>
      </c>
      <c r="K63">
        <f t="shared" si="8"/>
        <v>13.4</v>
      </c>
      <c r="L63">
        <f t="shared" si="9"/>
        <v>113</v>
      </c>
    </row>
    <row r="64" spans="1:12" ht="15.75" customHeight="1" x14ac:dyDescent="0.25">
      <c r="A64" s="4">
        <v>53</v>
      </c>
      <c r="B64" s="5">
        <f t="shared" si="10"/>
        <v>45049</v>
      </c>
      <c r="C64" s="6">
        <v>44.28</v>
      </c>
      <c r="D64" s="18">
        <v>41.7</v>
      </c>
      <c r="E64">
        <v>39.6</v>
      </c>
      <c r="F64">
        <v>26.65</v>
      </c>
      <c r="G64" s="6">
        <v>116</v>
      </c>
      <c r="H64" s="8">
        <f t="shared" si="5"/>
        <v>44.28</v>
      </c>
      <c r="I64">
        <f t="shared" si="6"/>
        <v>41.7</v>
      </c>
      <c r="J64">
        <f t="shared" si="7"/>
        <v>39.6</v>
      </c>
      <c r="K64">
        <f t="shared" si="8"/>
        <v>26.65</v>
      </c>
      <c r="L64">
        <f t="shared" si="9"/>
        <v>116</v>
      </c>
    </row>
    <row r="65" spans="1:12" ht="15.75" customHeight="1" x14ac:dyDescent="0.25">
      <c r="A65" s="4">
        <v>54</v>
      </c>
      <c r="B65" s="5">
        <f t="shared" si="10"/>
        <v>45050</v>
      </c>
      <c r="C65" s="6">
        <v>41.519999999999996</v>
      </c>
      <c r="D65" s="18">
        <v>46.2</v>
      </c>
      <c r="E65">
        <v>58.7</v>
      </c>
      <c r="F65">
        <v>17.879999999999995</v>
      </c>
      <c r="G65" s="6">
        <v>122</v>
      </c>
      <c r="H65" s="8">
        <f t="shared" si="5"/>
        <v>41.519999999999996</v>
      </c>
      <c r="I65">
        <f t="shared" si="6"/>
        <v>46.2</v>
      </c>
      <c r="J65">
        <f t="shared" si="7"/>
        <v>58.7</v>
      </c>
      <c r="K65">
        <f t="shared" si="8"/>
        <v>17.879999999999995</v>
      </c>
      <c r="L65">
        <f t="shared" si="9"/>
        <v>122</v>
      </c>
    </row>
    <row r="66" spans="1:12" ht="15.75" customHeight="1" x14ac:dyDescent="0.25">
      <c r="A66" s="4">
        <v>55</v>
      </c>
      <c r="B66" s="5">
        <f t="shared" si="10"/>
        <v>45051</v>
      </c>
      <c r="C66" s="6">
        <v>62.54</v>
      </c>
      <c r="D66" s="18">
        <v>28.8</v>
      </c>
      <c r="E66">
        <v>15.9</v>
      </c>
      <c r="F66">
        <v>34.31</v>
      </c>
      <c r="G66" s="6">
        <v>109</v>
      </c>
      <c r="H66" s="8">
        <f t="shared" si="5"/>
        <v>62.54</v>
      </c>
      <c r="I66">
        <f t="shared" si="6"/>
        <v>28.8</v>
      </c>
      <c r="J66">
        <f t="shared" si="7"/>
        <v>15.9</v>
      </c>
      <c r="K66">
        <f t="shared" si="8"/>
        <v>34.31</v>
      </c>
      <c r="L66">
        <f t="shared" si="9"/>
        <v>109</v>
      </c>
    </row>
    <row r="67" spans="1:12" ht="15.75" customHeight="1" x14ac:dyDescent="0.25">
      <c r="A67" s="4">
        <v>56</v>
      </c>
      <c r="B67" s="5">
        <f t="shared" si="10"/>
        <v>45052</v>
      </c>
      <c r="C67" s="6">
        <v>40.78</v>
      </c>
      <c r="D67" s="18">
        <v>49.4</v>
      </c>
      <c r="E67">
        <v>60</v>
      </c>
      <c r="F67">
        <v>20.590000000000003</v>
      </c>
      <c r="G67" s="6">
        <v>149</v>
      </c>
      <c r="H67" s="8">
        <f t="shared" si="5"/>
        <v>40.78</v>
      </c>
      <c r="I67">
        <f t="shared" si="6"/>
        <v>49.4</v>
      </c>
      <c r="J67">
        <f t="shared" si="7"/>
        <v>60</v>
      </c>
      <c r="K67">
        <f t="shared" si="8"/>
        <v>20.590000000000003</v>
      </c>
      <c r="L67">
        <f t="shared" si="9"/>
        <v>149</v>
      </c>
    </row>
    <row r="68" spans="1:12" ht="15.75" customHeight="1" x14ac:dyDescent="0.25">
      <c r="A68" s="4">
        <v>57</v>
      </c>
      <c r="B68" s="5">
        <f t="shared" si="10"/>
        <v>45053</v>
      </c>
      <c r="C68" s="6">
        <v>3.46</v>
      </c>
      <c r="D68" s="18">
        <v>28.1</v>
      </c>
      <c r="E68">
        <v>41.4</v>
      </c>
      <c r="F68">
        <v>18.220000000000002</v>
      </c>
      <c r="G68" s="6">
        <v>95</v>
      </c>
      <c r="H68" s="8">
        <f t="shared" si="5"/>
        <v>3.46</v>
      </c>
      <c r="I68">
        <f t="shared" si="6"/>
        <v>28.1</v>
      </c>
      <c r="J68">
        <f t="shared" si="7"/>
        <v>41.4</v>
      </c>
      <c r="K68">
        <f t="shared" si="8"/>
        <v>18.220000000000002</v>
      </c>
      <c r="L68">
        <f t="shared" si="9"/>
        <v>95</v>
      </c>
    </row>
    <row r="69" spans="1:12" ht="15.75" customHeight="1" x14ac:dyDescent="0.25">
      <c r="A69" s="4">
        <v>58</v>
      </c>
      <c r="B69" s="5">
        <f t="shared" si="10"/>
        <v>45054</v>
      </c>
      <c r="C69" s="6">
        <v>33.239999999999995</v>
      </c>
      <c r="D69" s="18">
        <v>19.2</v>
      </c>
      <c r="E69">
        <v>16.600000000000001</v>
      </c>
      <c r="F69">
        <v>16.579999999999998</v>
      </c>
      <c r="G69" s="6">
        <v>177</v>
      </c>
      <c r="H69" s="8">
        <f t="shared" si="5"/>
        <v>33.239999999999995</v>
      </c>
      <c r="I69">
        <f t="shared" si="6"/>
        <v>19.2</v>
      </c>
      <c r="J69">
        <f t="shared" si="7"/>
        <v>16.600000000000001</v>
      </c>
      <c r="K69">
        <f t="shared" si="8"/>
        <v>16.579999999999998</v>
      </c>
      <c r="L69">
        <f t="shared" si="9"/>
        <v>177</v>
      </c>
    </row>
    <row r="70" spans="1:12" ht="15.75" customHeight="1" x14ac:dyDescent="0.25">
      <c r="A70" s="4">
        <v>59</v>
      </c>
      <c r="B70" s="5">
        <f t="shared" si="10"/>
        <v>45055</v>
      </c>
      <c r="C70" s="6">
        <v>49.160000000000004</v>
      </c>
      <c r="D70" s="18">
        <v>49.6</v>
      </c>
      <c r="E70">
        <v>37.700000000000003</v>
      </c>
      <c r="F70">
        <v>30.8</v>
      </c>
      <c r="G70" s="6">
        <v>133</v>
      </c>
      <c r="H70" s="8">
        <f t="shared" si="5"/>
        <v>49.160000000000004</v>
      </c>
      <c r="I70">
        <f t="shared" si="6"/>
        <v>49.6</v>
      </c>
      <c r="J70">
        <f t="shared" si="7"/>
        <v>37.700000000000003</v>
      </c>
      <c r="K70">
        <f t="shared" si="8"/>
        <v>30.8</v>
      </c>
      <c r="L70">
        <f t="shared" si="9"/>
        <v>133</v>
      </c>
    </row>
    <row r="71" spans="1:12" ht="15.75" customHeight="1" x14ac:dyDescent="0.25">
      <c r="A71" s="4">
        <v>60</v>
      </c>
      <c r="B71" s="5">
        <f t="shared" si="10"/>
        <v>45056</v>
      </c>
      <c r="C71" s="6">
        <v>50.14</v>
      </c>
      <c r="D71" s="18">
        <v>29.5</v>
      </c>
      <c r="E71">
        <v>9.3000000000000007</v>
      </c>
      <c r="F71">
        <v>32.1</v>
      </c>
      <c r="G71" s="6">
        <v>91.5</v>
      </c>
      <c r="H71" s="8">
        <f t="shared" si="5"/>
        <v>50.14</v>
      </c>
      <c r="I71">
        <f t="shared" si="6"/>
        <v>29.5</v>
      </c>
      <c r="J71">
        <f t="shared" si="7"/>
        <v>9.3000000000000007</v>
      </c>
      <c r="K71">
        <f t="shared" si="8"/>
        <v>32.1</v>
      </c>
      <c r="L71">
        <f t="shared" si="9"/>
        <v>91.5</v>
      </c>
    </row>
    <row r="72" spans="1:12" ht="15.75" customHeight="1" x14ac:dyDescent="0.25">
      <c r="A72" s="4">
        <v>61</v>
      </c>
      <c r="B72" s="5">
        <f t="shared" si="10"/>
        <v>45057</v>
      </c>
      <c r="C72" s="6">
        <v>16.7</v>
      </c>
      <c r="D72" s="18">
        <v>2</v>
      </c>
      <c r="E72">
        <v>21.4</v>
      </c>
      <c r="F72">
        <v>17.79</v>
      </c>
      <c r="G72" s="6">
        <v>152</v>
      </c>
      <c r="H72" s="8">
        <f t="shared" si="5"/>
        <v>16.7</v>
      </c>
      <c r="I72">
        <f t="shared" si="6"/>
        <v>2</v>
      </c>
      <c r="J72">
        <f t="shared" si="7"/>
        <v>21.4</v>
      </c>
      <c r="K72">
        <f t="shared" si="8"/>
        <v>17.79</v>
      </c>
      <c r="L72">
        <f t="shared" si="9"/>
        <v>152</v>
      </c>
    </row>
    <row r="73" spans="1:12" ht="15.75" customHeight="1" x14ac:dyDescent="0.25">
      <c r="A73" s="4">
        <v>62</v>
      </c>
      <c r="B73" s="5">
        <f t="shared" si="10"/>
        <v>45058</v>
      </c>
      <c r="C73" s="6">
        <v>61.260000000000005</v>
      </c>
      <c r="D73" s="18">
        <v>42.7</v>
      </c>
      <c r="E73">
        <v>54.7</v>
      </c>
      <c r="F73">
        <v>25.6</v>
      </c>
      <c r="G73" s="6">
        <v>149</v>
      </c>
      <c r="H73" s="8">
        <f t="shared" si="5"/>
        <v>61.260000000000005</v>
      </c>
      <c r="I73">
        <f t="shared" si="6"/>
        <v>42.7</v>
      </c>
      <c r="J73">
        <f t="shared" si="7"/>
        <v>54.7</v>
      </c>
      <c r="K73">
        <f t="shared" si="8"/>
        <v>25.6</v>
      </c>
      <c r="L73">
        <f t="shared" si="9"/>
        <v>149</v>
      </c>
    </row>
    <row r="74" spans="1:12" ht="15.75" customHeight="1" x14ac:dyDescent="0.25">
      <c r="A74" s="4">
        <v>63</v>
      </c>
      <c r="B74" s="5">
        <f t="shared" si="10"/>
        <v>45059</v>
      </c>
      <c r="C74" s="6">
        <v>53.86</v>
      </c>
      <c r="D74" s="18">
        <v>15.5</v>
      </c>
      <c r="E74">
        <v>27.3</v>
      </c>
      <c r="F74">
        <v>20.759999999999998</v>
      </c>
      <c r="G74" s="6">
        <v>108</v>
      </c>
      <c r="H74" s="8">
        <f t="shared" si="5"/>
        <v>53.86</v>
      </c>
      <c r="I74">
        <f t="shared" si="6"/>
        <v>15.5</v>
      </c>
      <c r="J74">
        <f t="shared" si="7"/>
        <v>27.3</v>
      </c>
      <c r="K74">
        <f t="shared" si="8"/>
        <v>20.759999999999998</v>
      </c>
      <c r="L74">
        <f t="shared" si="9"/>
        <v>108</v>
      </c>
    </row>
    <row r="75" spans="1:12" ht="15.75" customHeight="1" x14ac:dyDescent="0.25">
      <c r="A75" s="4">
        <v>64</v>
      </c>
      <c r="B75" s="5">
        <f t="shared" si="10"/>
        <v>45060</v>
      </c>
      <c r="C75" s="6">
        <v>27.54</v>
      </c>
      <c r="D75" s="18">
        <v>29.6</v>
      </c>
      <c r="E75">
        <v>8.4</v>
      </c>
      <c r="F75">
        <v>21.71</v>
      </c>
      <c r="G75" s="6">
        <v>173</v>
      </c>
      <c r="H75" s="8">
        <f t="shared" si="5"/>
        <v>27.54</v>
      </c>
      <c r="I75">
        <f t="shared" si="6"/>
        <v>29.6</v>
      </c>
      <c r="J75">
        <f t="shared" si="7"/>
        <v>8.4</v>
      </c>
      <c r="K75">
        <f t="shared" si="8"/>
        <v>21.71</v>
      </c>
      <c r="L75">
        <f t="shared" si="9"/>
        <v>173</v>
      </c>
    </row>
    <row r="76" spans="1:12" ht="15.75" customHeight="1" x14ac:dyDescent="0.25">
      <c r="A76" s="4">
        <v>65</v>
      </c>
      <c r="B76" s="5">
        <f t="shared" ref="B76:B107" si="11">+B77-1</f>
        <v>45061</v>
      </c>
      <c r="C76" s="6">
        <v>27.22</v>
      </c>
      <c r="D76" s="18">
        <v>42.8</v>
      </c>
      <c r="E76">
        <v>28.9</v>
      </c>
      <c r="F76">
        <v>22.949999999999996</v>
      </c>
      <c r="G76" s="6">
        <v>113</v>
      </c>
      <c r="H76" s="8">
        <f t="shared" si="5"/>
        <v>27.22</v>
      </c>
      <c r="I76">
        <f t="shared" si="6"/>
        <v>42.8</v>
      </c>
      <c r="J76">
        <f t="shared" si="7"/>
        <v>28.9</v>
      </c>
      <c r="K76">
        <f t="shared" si="8"/>
        <v>22.949999999999996</v>
      </c>
      <c r="L76">
        <f t="shared" si="9"/>
        <v>113</v>
      </c>
    </row>
    <row r="77" spans="1:12" ht="15.75" customHeight="1" x14ac:dyDescent="0.25">
      <c r="A77" s="4">
        <v>66</v>
      </c>
      <c r="B77" s="5">
        <f t="shared" si="11"/>
        <v>45062</v>
      </c>
      <c r="C77" s="6">
        <v>21.8</v>
      </c>
      <c r="D77" s="18">
        <v>9.3000000000000007</v>
      </c>
      <c r="E77">
        <v>0.9</v>
      </c>
      <c r="F77">
        <v>11.190000000000001</v>
      </c>
      <c r="G77" s="6">
        <v>104</v>
      </c>
      <c r="H77" s="8">
        <f t="shared" ref="H77:H140" si="12">IF(C77&gt;$C$2,C67,C77)</f>
        <v>21.8</v>
      </c>
      <c r="I77">
        <f t="shared" ref="I77:I140" si="13">IF(D77&gt;$D$2,$D$2,D77)</f>
        <v>9.3000000000000007</v>
      </c>
      <c r="J77">
        <f t="shared" ref="J77:J140" si="14">IF(E77&gt;$E$2,$E$2,E77)</f>
        <v>0.9</v>
      </c>
      <c r="K77">
        <f t="shared" ref="K77:K140" si="15">IF(F77&gt;$F$2,$F$2,F77)</f>
        <v>11.190000000000001</v>
      </c>
      <c r="L77">
        <f t="shared" ref="L77:L140" si="16">IF(G77&gt;$G$2,$G$2,G77)</f>
        <v>104</v>
      </c>
    </row>
    <row r="78" spans="1:12" ht="15.75" customHeight="1" x14ac:dyDescent="0.25">
      <c r="A78" s="4">
        <v>67</v>
      </c>
      <c r="B78" s="5">
        <f t="shared" si="11"/>
        <v>45063</v>
      </c>
      <c r="C78" s="6">
        <v>15.3</v>
      </c>
      <c r="D78" s="18">
        <v>24.6</v>
      </c>
      <c r="E78">
        <v>2.2000000000000002</v>
      </c>
      <c r="F78">
        <v>14.57</v>
      </c>
      <c r="G78" s="6">
        <v>187</v>
      </c>
      <c r="H78" s="8">
        <f t="shared" si="12"/>
        <v>15.3</v>
      </c>
      <c r="I78">
        <f t="shared" si="13"/>
        <v>24.6</v>
      </c>
      <c r="J78">
        <f t="shared" si="14"/>
        <v>2.2000000000000002</v>
      </c>
      <c r="K78">
        <f t="shared" si="15"/>
        <v>14.57</v>
      </c>
      <c r="L78">
        <f t="shared" si="16"/>
        <v>187</v>
      </c>
    </row>
    <row r="79" spans="1:12" ht="15.75" customHeight="1" x14ac:dyDescent="0.25">
      <c r="A79" s="4">
        <v>68</v>
      </c>
      <c r="B79" s="5">
        <f t="shared" si="11"/>
        <v>45064</v>
      </c>
      <c r="C79" s="6">
        <v>30.860000000000003</v>
      </c>
      <c r="D79" s="18">
        <v>14.5</v>
      </c>
      <c r="E79">
        <v>10.199999999999999</v>
      </c>
      <c r="F79">
        <v>17.100000000000001</v>
      </c>
      <c r="G79" s="22">
        <v>298.75</v>
      </c>
      <c r="H79" s="8">
        <f t="shared" si="12"/>
        <v>30.860000000000003</v>
      </c>
      <c r="I79">
        <f t="shared" si="13"/>
        <v>14.5</v>
      </c>
      <c r="J79">
        <f t="shared" si="14"/>
        <v>10.199999999999999</v>
      </c>
      <c r="K79">
        <f t="shared" si="15"/>
        <v>17.100000000000001</v>
      </c>
      <c r="L79">
        <f t="shared" si="16"/>
        <v>294</v>
      </c>
    </row>
    <row r="80" spans="1:12" ht="15.75" customHeight="1" x14ac:dyDescent="0.25">
      <c r="A80" s="4">
        <v>69</v>
      </c>
      <c r="B80" s="5">
        <f t="shared" si="11"/>
        <v>45065</v>
      </c>
      <c r="C80" s="6">
        <v>51.480000000000004</v>
      </c>
      <c r="D80" s="18">
        <v>27.5</v>
      </c>
      <c r="E80">
        <v>11</v>
      </c>
      <c r="F80">
        <v>33.090000000000003</v>
      </c>
      <c r="G80" s="6">
        <v>147</v>
      </c>
      <c r="H80" s="8">
        <f t="shared" si="12"/>
        <v>51.480000000000004</v>
      </c>
      <c r="I80">
        <f t="shared" si="13"/>
        <v>27.5</v>
      </c>
      <c r="J80">
        <f t="shared" si="14"/>
        <v>11</v>
      </c>
      <c r="K80">
        <f t="shared" si="15"/>
        <v>33.090000000000003</v>
      </c>
      <c r="L80">
        <f t="shared" si="16"/>
        <v>147</v>
      </c>
    </row>
    <row r="81" spans="1:12" ht="15.75" customHeight="1" x14ac:dyDescent="0.25">
      <c r="A81" s="4">
        <v>70</v>
      </c>
      <c r="B81" s="5">
        <f t="shared" si="11"/>
        <v>45066</v>
      </c>
      <c r="C81" s="6">
        <v>48.36</v>
      </c>
      <c r="D81" s="18">
        <v>43.9</v>
      </c>
      <c r="E81">
        <v>27.2</v>
      </c>
      <c r="F81">
        <v>32.749999999999993</v>
      </c>
      <c r="G81" s="6">
        <v>116</v>
      </c>
      <c r="H81" s="8">
        <f t="shared" si="12"/>
        <v>48.36</v>
      </c>
      <c r="I81">
        <f t="shared" si="13"/>
        <v>43.9</v>
      </c>
      <c r="J81">
        <f t="shared" si="14"/>
        <v>27.2</v>
      </c>
      <c r="K81">
        <f t="shared" si="15"/>
        <v>32.749999999999993</v>
      </c>
      <c r="L81">
        <f t="shared" si="16"/>
        <v>116</v>
      </c>
    </row>
    <row r="82" spans="1:12" ht="15.75" customHeight="1" x14ac:dyDescent="0.25">
      <c r="A82" s="4">
        <v>71</v>
      </c>
      <c r="B82" s="5">
        <f t="shared" si="11"/>
        <v>45067</v>
      </c>
      <c r="C82" s="6">
        <v>44.82</v>
      </c>
      <c r="D82" s="18">
        <v>30.6</v>
      </c>
      <c r="E82">
        <v>38.700000000000003</v>
      </c>
      <c r="F82">
        <v>19.729999999999997</v>
      </c>
      <c r="G82" s="6">
        <v>183</v>
      </c>
      <c r="H82" s="8">
        <f t="shared" si="12"/>
        <v>44.82</v>
      </c>
      <c r="I82">
        <f t="shared" si="13"/>
        <v>30.6</v>
      </c>
      <c r="J82">
        <f t="shared" si="14"/>
        <v>38.700000000000003</v>
      </c>
      <c r="K82">
        <f t="shared" si="15"/>
        <v>19.729999999999997</v>
      </c>
      <c r="L82">
        <f t="shared" si="16"/>
        <v>183</v>
      </c>
    </row>
    <row r="83" spans="1:12" ht="15.75" customHeight="1" x14ac:dyDescent="0.25">
      <c r="A83" s="4">
        <v>72</v>
      </c>
      <c r="B83" s="5">
        <f t="shared" si="11"/>
        <v>45068</v>
      </c>
      <c r="C83" s="6">
        <v>29.96</v>
      </c>
      <c r="D83" s="18">
        <v>14.3</v>
      </c>
      <c r="E83">
        <v>31.7</v>
      </c>
      <c r="F83">
        <v>5.4500000000000028</v>
      </c>
      <c r="G83" s="6">
        <v>180</v>
      </c>
      <c r="H83" s="8">
        <f t="shared" si="12"/>
        <v>29.96</v>
      </c>
      <c r="I83">
        <f t="shared" si="13"/>
        <v>14.3</v>
      </c>
      <c r="J83">
        <f t="shared" si="14"/>
        <v>31.7</v>
      </c>
      <c r="K83">
        <f t="shared" si="15"/>
        <v>5.4500000000000028</v>
      </c>
      <c r="L83">
        <f t="shared" si="16"/>
        <v>180</v>
      </c>
    </row>
    <row r="84" spans="1:12" ht="15.75" customHeight="1" x14ac:dyDescent="0.25">
      <c r="A84" s="4">
        <v>73</v>
      </c>
      <c r="B84" s="5">
        <f t="shared" si="11"/>
        <v>45069</v>
      </c>
      <c r="C84" s="6">
        <v>15.36</v>
      </c>
      <c r="D84" s="18">
        <v>33</v>
      </c>
      <c r="E84">
        <v>19.3</v>
      </c>
      <c r="F84">
        <v>11.459999999999999</v>
      </c>
      <c r="G84" s="6">
        <v>132</v>
      </c>
      <c r="H84" s="8">
        <f t="shared" si="12"/>
        <v>15.36</v>
      </c>
      <c r="I84">
        <f t="shared" si="13"/>
        <v>33</v>
      </c>
      <c r="J84">
        <f t="shared" si="14"/>
        <v>19.3</v>
      </c>
      <c r="K84">
        <f t="shared" si="15"/>
        <v>11.459999999999999</v>
      </c>
      <c r="L84">
        <f t="shared" si="16"/>
        <v>132</v>
      </c>
    </row>
    <row r="85" spans="1:12" ht="15.75" customHeight="1" x14ac:dyDescent="0.25">
      <c r="A85" s="4">
        <v>74</v>
      </c>
      <c r="B85" s="5">
        <f t="shared" si="11"/>
        <v>45070</v>
      </c>
      <c r="C85" s="6">
        <v>28.880000000000003</v>
      </c>
      <c r="D85" s="18">
        <v>5.7</v>
      </c>
      <c r="E85">
        <v>31.3</v>
      </c>
      <c r="F85">
        <v>3.2699999999999996</v>
      </c>
      <c r="G85" s="6">
        <v>117</v>
      </c>
      <c r="H85" s="8">
        <f t="shared" si="12"/>
        <v>28.880000000000003</v>
      </c>
      <c r="I85">
        <f t="shared" si="13"/>
        <v>5.7</v>
      </c>
      <c r="J85">
        <f t="shared" si="14"/>
        <v>31.3</v>
      </c>
      <c r="K85">
        <f t="shared" si="15"/>
        <v>3.2699999999999996</v>
      </c>
      <c r="L85">
        <f t="shared" si="16"/>
        <v>117</v>
      </c>
    </row>
    <row r="86" spans="1:12" ht="15.75" customHeight="1" x14ac:dyDescent="0.25">
      <c r="A86" s="4">
        <v>75</v>
      </c>
      <c r="B86" s="5">
        <f t="shared" si="11"/>
        <v>45071</v>
      </c>
      <c r="C86" s="6">
        <v>50.68</v>
      </c>
      <c r="D86" s="18">
        <v>0</v>
      </c>
      <c r="E86">
        <v>13.1</v>
      </c>
      <c r="F86">
        <v>28.4</v>
      </c>
      <c r="G86" s="6">
        <v>140</v>
      </c>
      <c r="H86" s="8">
        <f t="shared" si="12"/>
        <v>50.68</v>
      </c>
      <c r="I86">
        <f t="shared" si="13"/>
        <v>0</v>
      </c>
      <c r="J86">
        <f t="shared" si="14"/>
        <v>13.1</v>
      </c>
      <c r="K86">
        <f t="shared" si="15"/>
        <v>28.4</v>
      </c>
      <c r="L86">
        <f t="shared" si="16"/>
        <v>140</v>
      </c>
    </row>
    <row r="87" spans="1:12" ht="15.75" customHeight="1" x14ac:dyDescent="0.25">
      <c r="A87" s="4">
        <v>76</v>
      </c>
      <c r="B87" s="5">
        <f t="shared" si="11"/>
        <v>45072</v>
      </c>
      <c r="C87" s="6">
        <v>12.379999999999999</v>
      </c>
      <c r="D87" s="18">
        <v>43.7</v>
      </c>
      <c r="E87">
        <v>89.4</v>
      </c>
      <c r="F87">
        <v>7.7799999999999976</v>
      </c>
      <c r="G87" s="6">
        <v>112</v>
      </c>
      <c r="H87" s="8">
        <f t="shared" si="12"/>
        <v>12.379999999999999</v>
      </c>
      <c r="I87">
        <f t="shared" si="13"/>
        <v>43.7</v>
      </c>
      <c r="J87">
        <f t="shared" si="14"/>
        <v>89.4</v>
      </c>
      <c r="K87">
        <f t="shared" si="15"/>
        <v>7.7799999999999976</v>
      </c>
      <c r="L87">
        <f t="shared" si="16"/>
        <v>112</v>
      </c>
    </row>
    <row r="88" spans="1:12" ht="15.75" customHeight="1" x14ac:dyDescent="0.25">
      <c r="A88" s="4">
        <v>77</v>
      </c>
      <c r="B88" s="5">
        <f t="shared" si="11"/>
        <v>45073</v>
      </c>
      <c r="C88" s="6">
        <v>13.5</v>
      </c>
      <c r="D88" s="18">
        <v>1.6</v>
      </c>
      <c r="E88">
        <v>20.7</v>
      </c>
      <c r="F88">
        <v>15.27</v>
      </c>
      <c r="G88" s="6">
        <v>172</v>
      </c>
      <c r="H88" s="8">
        <f t="shared" si="12"/>
        <v>13.5</v>
      </c>
      <c r="I88">
        <f t="shared" si="13"/>
        <v>1.6</v>
      </c>
      <c r="J88">
        <f t="shared" si="14"/>
        <v>20.7</v>
      </c>
      <c r="K88">
        <f t="shared" si="15"/>
        <v>15.27</v>
      </c>
      <c r="L88">
        <f t="shared" si="16"/>
        <v>172</v>
      </c>
    </row>
    <row r="89" spans="1:12" ht="15.75" customHeight="1" x14ac:dyDescent="0.25">
      <c r="A89" s="4">
        <v>78</v>
      </c>
      <c r="B89" s="5">
        <f t="shared" si="11"/>
        <v>45074</v>
      </c>
      <c r="C89" s="6">
        <v>25.1</v>
      </c>
      <c r="D89" s="18">
        <v>28.5</v>
      </c>
      <c r="E89">
        <v>14.2</v>
      </c>
      <c r="F89">
        <v>20.62</v>
      </c>
      <c r="G89" s="6">
        <v>127</v>
      </c>
      <c r="H89" s="8">
        <f t="shared" si="12"/>
        <v>25.1</v>
      </c>
      <c r="I89">
        <f t="shared" si="13"/>
        <v>28.5</v>
      </c>
      <c r="J89">
        <f t="shared" si="14"/>
        <v>14.2</v>
      </c>
      <c r="K89">
        <f t="shared" si="15"/>
        <v>20.62</v>
      </c>
      <c r="L89">
        <f t="shared" si="16"/>
        <v>127</v>
      </c>
    </row>
    <row r="90" spans="1:12" ht="15.75" customHeight="1" x14ac:dyDescent="0.25">
      <c r="A90" s="4">
        <v>79</v>
      </c>
      <c r="B90" s="5">
        <f t="shared" si="11"/>
        <v>45075</v>
      </c>
      <c r="C90" s="6">
        <v>8.08</v>
      </c>
      <c r="D90" s="18">
        <v>29.9</v>
      </c>
      <c r="E90">
        <v>9.4</v>
      </c>
      <c r="F90">
        <v>11.729999999999999</v>
      </c>
      <c r="G90" s="6">
        <v>129</v>
      </c>
      <c r="H90" s="8">
        <f t="shared" si="12"/>
        <v>8.08</v>
      </c>
      <c r="I90">
        <f t="shared" si="13"/>
        <v>29.9</v>
      </c>
      <c r="J90">
        <f t="shared" si="14"/>
        <v>9.4</v>
      </c>
      <c r="K90">
        <f t="shared" si="15"/>
        <v>11.729999999999999</v>
      </c>
      <c r="L90">
        <f t="shared" si="16"/>
        <v>129</v>
      </c>
    </row>
    <row r="91" spans="1:12" ht="15.75" customHeight="1" x14ac:dyDescent="0.25">
      <c r="A91" s="4">
        <v>80</v>
      </c>
      <c r="B91" s="5">
        <f t="shared" si="11"/>
        <v>45076</v>
      </c>
      <c r="C91" s="6">
        <v>31.2</v>
      </c>
      <c r="D91" s="18">
        <v>7.7</v>
      </c>
      <c r="E91">
        <v>23.1</v>
      </c>
      <c r="F91">
        <v>6.2099999999999991</v>
      </c>
      <c r="G91" s="6">
        <v>117</v>
      </c>
      <c r="H91" s="8">
        <f t="shared" si="12"/>
        <v>31.2</v>
      </c>
      <c r="I91">
        <f t="shared" si="13"/>
        <v>7.7</v>
      </c>
      <c r="J91">
        <f t="shared" si="14"/>
        <v>23.1</v>
      </c>
      <c r="K91">
        <f t="shared" si="15"/>
        <v>6.2099999999999991</v>
      </c>
      <c r="L91">
        <f t="shared" si="16"/>
        <v>117</v>
      </c>
    </row>
    <row r="92" spans="1:12" ht="15.75" customHeight="1" x14ac:dyDescent="0.25">
      <c r="A92" s="4">
        <v>81</v>
      </c>
      <c r="B92" s="5">
        <f t="shared" si="11"/>
        <v>45077</v>
      </c>
      <c r="C92" s="6">
        <v>19.28</v>
      </c>
      <c r="D92" s="18">
        <v>26.7</v>
      </c>
      <c r="E92">
        <v>22.3</v>
      </c>
      <c r="F92">
        <v>12.070000000000002</v>
      </c>
      <c r="G92" s="6">
        <v>135</v>
      </c>
      <c r="H92" s="8">
        <f t="shared" si="12"/>
        <v>19.28</v>
      </c>
      <c r="I92">
        <f t="shared" si="13"/>
        <v>26.7</v>
      </c>
      <c r="J92">
        <f t="shared" si="14"/>
        <v>22.3</v>
      </c>
      <c r="K92">
        <f t="shared" si="15"/>
        <v>12.070000000000002</v>
      </c>
      <c r="L92">
        <f t="shared" si="16"/>
        <v>135</v>
      </c>
    </row>
    <row r="93" spans="1:12" ht="15.75" customHeight="1" x14ac:dyDescent="0.25">
      <c r="A93" s="4">
        <v>82</v>
      </c>
      <c r="B93" s="5">
        <f t="shared" si="11"/>
        <v>45078</v>
      </c>
      <c r="C93" s="22">
        <v>151.96</v>
      </c>
      <c r="D93" s="18">
        <v>4.0999999999999996</v>
      </c>
      <c r="E93">
        <v>36.9</v>
      </c>
      <c r="F93">
        <v>11.270000000000001</v>
      </c>
      <c r="G93" s="6">
        <v>152</v>
      </c>
      <c r="H93" s="8">
        <f t="shared" si="12"/>
        <v>29.96</v>
      </c>
      <c r="I93">
        <f t="shared" si="13"/>
        <v>4.0999999999999996</v>
      </c>
      <c r="J93">
        <f t="shared" si="14"/>
        <v>36.9</v>
      </c>
      <c r="K93">
        <f t="shared" si="15"/>
        <v>11.270000000000001</v>
      </c>
      <c r="L93">
        <f t="shared" si="16"/>
        <v>152</v>
      </c>
    </row>
    <row r="94" spans="1:12" ht="15.75" customHeight="1" x14ac:dyDescent="0.25">
      <c r="A94" s="4">
        <v>83</v>
      </c>
      <c r="B94" s="5">
        <f t="shared" si="11"/>
        <v>45079</v>
      </c>
      <c r="C94" s="6">
        <v>18.059999999999999</v>
      </c>
      <c r="D94" s="18">
        <v>20.3</v>
      </c>
      <c r="E94">
        <v>32.5</v>
      </c>
      <c r="F94">
        <v>4.68</v>
      </c>
      <c r="G94" s="6">
        <v>123</v>
      </c>
      <c r="H94" s="8">
        <f t="shared" si="12"/>
        <v>18.059999999999999</v>
      </c>
      <c r="I94">
        <f t="shared" si="13"/>
        <v>20.3</v>
      </c>
      <c r="J94">
        <f t="shared" si="14"/>
        <v>32.5</v>
      </c>
      <c r="K94">
        <f t="shared" si="15"/>
        <v>4.68</v>
      </c>
      <c r="L94">
        <f t="shared" si="16"/>
        <v>123</v>
      </c>
    </row>
    <row r="95" spans="1:12" ht="15.75" customHeight="1" x14ac:dyDescent="0.25">
      <c r="A95" s="4">
        <v>84</v>
      </c>
      <c r="B95" s="5">
        <f t="shared" si="11"/>
        <v>45080</v>
      </c>
      <c r="C95" s="6">
        <v>22.68</v>
      </c>
      <c r="D95" s="18">
        <v>44.5</v>
      </c>
      <c r="E95">
        <v>35.6</v>
      </c>
      <c r="F95">
        <v>14.849999999999998</v>
      </c>
      <c r="G95" s="6">
        <v>120</v>
      </c>
      <c r="H95" s="8">
        <f t="shared" si="12"/>
        <v>22.68</v>
      </c>
      <c r="I95">
        <f t="shared" si="13"/>
        <v>44.5</v>
      </c>
      <c r="J95">
        <f t="shared" si="14"/>
        <v>35.6</v>
      </c>
      <c r="K95">
        <f t="shared" si="15"/>
        <v>14.849999999999998</v>
      </c>
      <c r="L95">
        <f t="shared" si="16"/>
        <v>120</v>
      </c>
    </row>
    <row r="96" spans="1:12" ht="15.75" customHeight="1" x14ac:dyDescent="0.25">
      <c r="A96" s="4">
        <v>85</v>
      </c>
      <c r="B96" s="5">
        <f t="shared" si="11"/>
        <v>45081</v>
      </c>
      <c r="C96" s="6">
        <v>45.7</v>
      </c>
      <c r="D96" s="18">
        <v>43</v>
      </c>
      <c r="E96">
        <v>33.799999999999997</v>
      </c>
      <c r="F96">
        <v>29.330000000000002</v>
      </c>
      <c r="G96" s="6">
        <v>125</v>
      </c>
      <c r="H96" s="8">
        <f t="shared" si="12"/>
        <v>45.7</v>
      </c>
      <c r="I96">
        <f t="shared" si="13"/>
        <v>43</v>
      </c>
      <c r="J96">
        <f t="shared" si="14"/>
        <v>33.799999999999997</v>
      </c>
      <c r="K96">
        <f t="shared" si="15"/>
        <v>29.330000000000002</v>
      </c>
      <c r="L96">
        <f t="shared" si="16"/>
        <v>125</v>
      </c>
    </row>
    <row r="97" spans="1:12" ht="15.75" customHeight="1" x14ac:dyDescent="0.25">
      <c r="A97" s="4">
        <v>86</v>
      </c>
      <c r="B97" s="5">
        <f t="shared" si="11"/>
        <v>45082</v>
      </c>
      <c r="C97" s="6">
        <v>42.64</v>
      </c>
      <c r="D97" s="18">
        <v>18.399999999999999</v>
      </c>
      <c r="E97">
        <v>65.7</v>
      </c>
      <c r="F97">
        <v>2.2399999999999984</v>
      </c>
      <c r="G97" s="6">
        <v>197</v>
      </c>
      <c r="H97" s="8">
        <f t="shared" si="12"/>
        <v>42.64</v>
      </c>
      <c r="I97">
        <f t="shared" si="13"/>
        <v>18.399999999999999</v>
      </c>
      <c r="J97">
        <f t="shared" si="14"/>
        <v>65.7</v>
      </c>
      <c r="K97">
        <f t="shared" si="15"/>
        <v>2.2399999999999984</v>
      </c>
      <c r="L97">
        <f t="shared" si="16"/>
        <v>197</v>
      </c>
    </row>
    <row r="98" spans="1:12" ht="15.75" customHeight="1" x14ac:dyDescent="0.25">
      <c r="A98" s="4">
        <v>87</v>
      </c>
      <c r="B98" s="5">
        <f t="shared" si="11"/>
        <v>45083</v>
      </c>
      <c r="C98" s="6">
        <v>21.259999999999998</v>
      </c>
      <c r="D98" s="18">
        <v>27.5</v>
      </c>
      <c r="E98">
        <v>16</v>
      </c>
      <c r="F98">
        <v>14.979999999999999</v>
      </c>
      <c r="G98" s="6">
        <v>93</v>
      </c>
      <c r="H98" s="8">
        <f t="shared" si="12"/>
        <v>21.259999999999998</v>
      </c>
      <c r="I98">
        <f t="shared" si="13"/>
        <v>27.5</v>
      </c>
      <c r="J98">
        <f t="shared" si="14"/>
        <v>16</v>
      </c>
      <c r="K98">
        <f t="shared" si="15"/>
        <v>14.979999999999999</v>
      </c>
      <c r="L98">
        <f t="shared" si="16"/>
        <v>93</v>
      </c>
    </row>
    <row r="99" spans="1:12" ht="15.75" customHeight="1" x14ac:dyDescent="0.25">
      <c r="A99" s="4">
        <v>88</v>
      </c>
      <c r="B99" s="5">
        <f t="shared" si="11"/>
        <v>45084</v>
      </c>
      <c r="C99" s="6">
        <v>28.14</v>
      </c>
      <c r="D99" s="18">
        <v>40.6</v>
      </c>
      <c r="E99">
        <v>63.2</v>
      </c>
      <c r="F99">
        <v>6.09</v>
      </c>
      <c r="G99" s="6">
        <v>138</v>
      </c>
      <c r="H99" s="8">
        <f t="shared" si="12"/>
        <v>28.14</v>
      </c>
      <c r="I99">
        <f t="shared" si="13"/>
        <v>40.6</v>
      </c>
      <c r="J99">
        <f t="shared" si="14"/>
        <v>63.2</v>
      </c>
      <c r="K99">
        <f t="shared" si="15"/>
        <v>6.09</v>
      </c>
      <c r="L99">
        <f t="shared" si="16"/>
        <v>138</v>
      </c>
    </row>
    <row r="100" spans="1:12" ht="15.75" customHeight="1" x14ac:dyDescent="0.25">
      <c r="A100" s="4">
        <v>89</v>
      </c>
      <c r="B100" s="5">
        <f t="shared" si="11"/>
        <v>45085</v>
      </c>
      <c r="C100" s="6">
        <v>27.66</v>
      </c>
      <c r="D100" s="23">
        <v>225.5</v>
      </c>
      <c r="E100">
        <v>73.400000000000006</v>
      </c>
      <c r="F100">
        <v>12.219999999999995</v>
      </c>
      <c r="G100" s="6">
        <v>148</v>
      </c>
      <c r="H100" s="8">
        <f t="shared" si="12"/>
        <v>27.66</v>
      </c>
      <c r="I100">
        <f t="shared" si="13"/>
        <v>76.949999999999989</v>
      </c>
      <c r="J100">
        <f t="shared" si="14"/>
        <v>73.400000000000006</v>
      </c>
      <c r="K100">
        <f t="shared" si="15"/>
        <v>12.219999999999995</v>
      </c>
      <c r="L100">
        <f t="shared" si="16"/>
        <v>148</v>
      </c>
    </row>
    <row r="101" spans="1:12" ht="15.75" customHeight="1" x14ac:dyDescent="0.25">
      <c r="A101" s="4">
        <v>90</v>
      </c>
      <c r="B101" s="5">
        <f t="shared" si="11"/>
        <v>45086</v>
      </c>
      <c r="C101" s="6">
        <v>23.96</v>
      </c>
      <c r="D101" s="18">
        <v>47.8</v>
      </c>
      <c r="E101">
        <v>51.4</v>
      </c>
      <c r="F101">
        <v>14.319999999999993</v>
      </c>
      <c r="G101" s="6">
        <v>184</v>
      </c>
      <c r="H101" s="8">
        <f t="shared" si="12"/>
        <v>23.96</v>
      </c>
      <c r="I101">
        <f t="shared" si="13"/>
        <v>47.8</v>
      </c>
      <c r="J101">
        <f t="shared" si="14"/>
        <v>51.4</v>
      </c>
      <c r="K101">
        <f t="shared" si="15"/>
        <v>14.319999999999993</v>
      </c>
      <c r="L101">
        <f t="shared" si="16"/>
        <v>184</v>
      </c>
    </row>
    <row r="102" spans="1:12" ht="15.75" customHeight="1" x14ac:dyDescent="0.25">
      <c r="A102" s="4">
        <v>91</v>
      </c>
      <c r="B102" s="5">
        <f t="shared" si="11"/>
        <v>45087</v>
      </c>
      <c r="C102" s="6">
        <v>31.860000000000003</v>
      </c>
      <c r="D102" s="18">
        <v>4.9000000000000004</v>
      </c>
      <c r="E102">
        <v>9.3000000000000007</v>
      </c>
      <c r="F102">
        <v>12.160000000000002</v>
      </c>
      <c r="G102" s="6">
        <v>133</v>
      </c>
      <c r="H102" s="8">
        <f t="shared" si="12"/>
        <v>31.860000000000003</v>
      </c>
      <c r="I102">
        <f t="shared" si="13"/>
        <v>4.9000000000000004</v>
      </c>
      <c r="J102">
        <f t="shared" si="14"/>
        <v>9.3000000000000007</v>
      </c>
      <c r="K102">
        <f t="shared" si="15"/>
        <v>12.160000000000002</v>
      </c>
      <c r="L102">
        <f t="shared" si="16"/>
        <v>133</v>
      </c>
    </row>
    <row r="103" spans="1:12" ht="15.75" customHeight="1" x14ac:dyDescent="0.25">
      <c r="A103" s="4">
        <v>92</v>
      </c>
      <c r="B103" s="5">
        <f t="shared" si="11"/>
        <v>45088</v>
      </c>
      <c r="C103" s="6">
        <v>14.72</v>
      </c>
      <c r="D103" s="18">
        <v>1.5</v>
      </c>
      <c r="E103">
        <v>33</v>
      </c>
      <c r="F103">
        <v>10.41</v>
      </c>
      <c r="G103" s="6">
        <v>171</v>
      </c>
      <c r="H103" s="8">
        <f t="shared" si="12"/>
        <v>14.72</v>
      </c>
      <c r="I103">
        <f t="shared" si="13"/>
        <v>1.5</v>
      </c>
      <c r="J103">
        <f t="shared" si="14"/>
        <v>33</v>
      </c>
      <c r="K103">
        <f t="shared" si="15"/>
        <v>10.41</v>
      </c>
      <c r="L103">
        <f t="shared" si="16"/>
        <v>171</v>
      </c>
    </row>
    <row r="104" spans="1:12" ht="15.75" customHeight="1" x14ac:dyDescent="0.25">
      <c r="A104" s="4">
        <v>93</v>
      </c>
      <c r="B104" s="5">
        <f t="shared" si="11"/>
        <v>45089</v>
      </c>
      <c r="C104" s="6">
        <v>47.54</v>
      </c>
      <c r="D104" s="18">
        <v>33.5</v>
      </c>
      <c r="E104">
        <v>59</v>
      </c>
      <c r="F104">
        <v>14.919999999999995</v>
      </c>
      <c r="G104" s="6">
        <v>193</v>
      </c>
      <c r="H104" s="8">
        <f t="shared" si="12"/>
        <v>47.54</v>
      </c>
      <c r="I104">
        <f t="shared" si="13"/>
        <v>33.5</v>
      </c>
      <c r="J104">
        <f t="shared" si="14"/>
        <v>59</v>
      </c>
      <c r="K104">
        <f t="shared" si="15"/>
        <v>14.919999999999995</v>
      </c>
      <c r="L104">
        <f t="shared" si="16"/>
        <v>193</v>
      </c>
    </row>
    <row r="105" spans="1:12" ht="15.75" customHeight="1" x14ac:dyDescent="0.25">
      <c r="A105" s="4">
        <v>94</v>
      </c>
      <c r="B105" s="5">
        <f t="shared" si="11"/>
        <v>45090</v>
      </c>
      <c r="C105" s="6">
        <v>56.18</v>
      </c>
      <c r="D105" s="18">
        <v>36.5</v>
      </c>
      <c r="E105">
        <v>72.3</v>
      </c>
      <c r="F105">
        <v>14.420000000000002</v>
      </c>
      <c r="G105" s="6">
        <v>108</v>
      </c>
      <c r="H105" s="8">
        <f t="shared" si="12"/>
        <v>56.18</v>
      </c>
      <c r="I105">
        <f t="shared" si="13"/>
        <v>36.5</v>
      </c>
      <c r="J105">
        <f t="shared" si="14"/>
        <v>72.3</v>
      </c>
      <c r="K105">
        <f t="shared" si="15"/>
        <v>14.420000000000002</v>
      </c>
      <c r="L105">
        <f t="shared" si="16"/>
        <v>108</v>
      </c>
    </row>
    <row r="106" spans="1:12" ht="15.75" customHeight="1" x14ac:dyDescent="0.25">
      <c r="A106" s="4">
        <v>95</v>
      </c>
      <c r="B106" s="5">
        <f t="shared" si="11"/>
        <v>45091</v>
      </c>
      <c r="C106" s="6">
        <v>30.48</v>
      </c>
      <c r="D106" s="18">
        <v>14</v>
      </c>
      <c r="E106">
        <v>10.9</v>
      </c>
      <c r="F106">
        <v>13.380000000000003</v>
      </c>
      <c r="G106" s="6">
        <v>163</v>
      </c>
      <c r="H106" s="8">
        <f t="shared" si="12"/>
        <v>30.48</v>
      </c>
      <c r="I106">
        <f t="shared" si="13"/>
        <v>14</v>
      </c>
      <c r="J106">
        <f t="shared" si="14"/>
        <v>10.9</v>
      </c>
      <c r="K106">
        <f t="shared" si="15"/>
        <v>13.380000000000003</v>
      </c>
      <c r="L106">
        <f t="shared" si="16"/>
        <v>163</v>
      </c>
    </row>
    <row r="107" spans="1:12" ht="15.75" customHeight="1" x14ac:dyDescent="0.25">
      <c r="A107" s="4">
        <v>96</v>
      </c>
      <c r="B107" s="5">
        <f t="shared" si="11"/>
        <v>45092</v>
      </c>
      <c r="C107" s="6">
        <v>40.660000000000004</v>
      </c>
      <c r="D107" s="18">
        <v>31.6</v>
      </c>
      <c r="E107">
        <v>52.9</v>
      </c>
      <c r="F107">
        <v>10.970000000000002</v>
      </c>
      <c r="G107" s="6">
        <v>108</v>
      </c>
      <c r="H107" s="8">
        <f t="shared" si="12"/>
        <v>40.660000000000004</v>
      </c>
      <c r="I107">
        <f t="shared" si="13"/>
        <v>31.6</v>
      </c>
      <c r="J107">
        <f t="shared" si="14"/>
        <v>52.9</v>
      </c>
      <c r="K107">
        <f t="shared" si="15"/>
        <v>10.970000000000002</v>
      </c>
      <c r="L107">
        <f t="shared" si="16"/>
        <v>108</v>
      </c>
    </row>
    <row r="108" spans="1:12" ht="15.75" customHeight="1" x14ac:dyDescent="0.25">
      <c r="A108" s="4">
        <v>97</v>
      </c>
      <c r="B108" s="5">
        <f t="shared" ref="B108:B144" si="17">+B109-1</f>
        <v>45093</v>
      </c>
      <c r="C108" s="6">
        <v>46.519999999999996</v>
      </c>
      <c r="D108" s="18">
        <v>3.5</v>
      </c>
      <c r="E108">
        <v>5.9</v>
      </c>
      <c r="F108">
        <v>19.149999999999999</v>
      </c>
      <c r="G108" s="6">
        <v>129</v>
      </c>
      <c r="H108" s="8">
        <f t="shared" si="12"/>
        <v>46.519999999999996</v>
      </c>
      <c r="I108">
        <f t="shared" si="13"/>
        <v>3.5</v>
      </c>
      <c r="J108">
        <f t="shared" si="14"/>
        <v>5.9</v>
      </c>
      <c r="K108">
        <f t="shared" si="15"/>
        <v>19.149999999999999</v>
      </c>
      <c r="L108">
        <f t="shared" si="16"/>
        <v>129</v>
      </c>
    </row>
    <row r="109" spans="1:12" ht="15.75" customHeight="1" x14ac:dyDescent="0.25">
      <c r="A109" s="4">
        <v>98</v>
      </c>
      <c r="B109" s="5">
        <f t="shared" si="17"/>
        <v>45094</v>
      </c>
      <c r="C109" s="6">
        <v>41.980000000000004</v>
      </c>
      <c r="D109" s="18">
        <v>21</v>
      </c>
      <c r="E109">
        <v>22</v>
      </c>
      <c r="F109">
        <v>20.190000000000001</v>
      </c>
      <c r="G109" s="6">
        <v>208</v>
      </c>
      <c r="H109" s="8">
        <f t="shared" si="12"/>
        <v>41.980000000000004</v>
      </c>
      <c r="I109">
        <f t="shared" si="13"/>
        <v>21</v>
      </c>
      <c r="J109">
        <f t="shared" si="14"/>
        <v>22</v>
      </c>
      <c r="K109">
        <f t="shared" si="15"/>
        <v>20.190000000000001</v>
      </c>
      <c r="L109">
        <f t="shared" si="16"/>
        <v>208</v>
      </c>
    </row>
    <row r="110" spans="1:12" ht="15.75" customHeight="1" x14ac:dyDescent="0.25">
      <c r="A110" s="4">
        <v>99</v>
      </c>
      <c r="B110" s="5">
        <f t="shared" si="17"/>
        <v>45095</v>
      </c>
      <c r="C110" s="6">
        <v>64.94</v>
      </c>
      <c r="D110" s="18">
        <v>42.3</v>
      </c>
      <c r="E110">
        <v>51.2</v>
      </c>
      <c r="F110">
        <v>29.639999999999993</v>
      </c>
      <c r="G110" s="6">
        <v>196</v>
      </c>
      <c r="H110" s="8">
        <f t="shared" si="12"/>
        <v>64.94</v>
      </c>
      <c r="I110">
        <f t="shared" si="13"/>
        <v>42.3</v>
      </c>
      <c r="J110">
        <f t="shared" si="14"/>
        <v>51.2</v>
      </c>
      <c r="K110">
        <f t="shared" si="15"/>
        <v>29.639999999999993</v>
      </c>
      <c r="L110">
        <f t="shared" si="16"/>
        <v>196</v>
      </c>
    </row>
    <row r="111" spans="1:12" ht="15.75" customHeight="1" x14ac:dyDescent="0.25">
      <c r="A111" s="4">
        <v>100</v>
      </c>
      <c r="B111" s="5">
        <f t="shared" si="17"/>
        <v>45096</v>
      </c>
      <c r="C111" s="6">
        <v>28.04</v>
      </c>
      <c r="D111" s="18">
        <v>41.7</v>
      </c>
      <c r="E111">
        <v>45.9</v>
      </c>
      <c r="F111">
        <v>16.010000000000005</v>
      </c>
      <c r="G111" s="6">
        <v>129</v>
      </c>
      <c r="H111" s="8">
        <f t="shared" si="12"/>
        <v>28.04</v>
      </c>
      <c r="I111">
        <f t="shared" si="13"/>
        <v>41.7</v>
      </c>
      <c r="J111">
        <f t="shared" si="14"/>
        <v>45.9</v>
      </c>
      <c r="K111">
        <f t="shared" si="15"/>
        <v>16.010000000000005</v>
      </c>
      <c r="L111">
        <f t="shared" si="16"/>
        <v>129</v>
      </c>
    </row>
    <row r="112" spans="1:12" ht="15.75" customHeight="1" x14ac:dyDescent="0.25">
      <c r="A112" s="4">
        <v>101</v>
      </c>
      <c r="B112" s="5">
        <f t="shared" si="17"/>
        <v>45097</v>
      </c>
      <c r="C112" s="6">
        <v>51.480000000000004</v>
      </c>
      <c r="D112" s="18">
        <v>4.3</v>
      </c>
      <c r="E112">
        <v>49.8</v>
      </c>
      <c r="F112">
        <v>4.4699999999999989</v>
      </c>
      <c r="G112" s="6">
        <v>163</v>
      </c>
      <c r="H112" s="8">
        <f t="shared" si="12"/>
        <v>51.480000000000004</v>
      </c>
      <c r="I112">
        <f t="shared" si="13"/>
        <v>4.3</v>
      </c>
      <c r="J112">
        <f t="shared" si="14"/>
        <v>49.8</v>
      </c>
      <c r="K112">
        <f t="shared" si="15"/>
        <v>4.4699999999999989</v>
      </c>
      <c r="L112">
        <f t="shared" si="16"/>
        <v>163</v>
      </c>
    </row>
    <row r="113" spans="1:12" ht="15.75" customHeight="1" x14ac:dyDescent="0.25">
      <c r="A113" s="4">
        <v>102</v>
      </c>
      <c r="B113" s="5">
        <f t="shared" si="17"/>
        <v>45098</v>
      </c>
      <c r="C113" s="6">
        <v>63.279999999999994</v>
      </c>
      <c r="D113" s="18">
        <v>36.299999999999997</v>
      </c>
      <c r="E113">
        <v>93.625</v>
      </c>
      <c r="F113">
        <v>10.339999999999989</v>
      </c>
      <c r="G113" s="6">
        <v>167</v>
      </c>
      <c r="H113" s="8">
        <f t="shared" si="12"/>
        <v>63.279999999999994</v>
      </c>
      <c r="I113">
        <f t="shared" si="13"/>
        <v>36.299999999999997</v>
      </c>
      <c r="J113">
        <f t="shared" si="14"/>
        <v>93.625</v>
      </c>
      <c r="K113">
        <f t="shared" si="15"/>
        <v>10.339999999999989</v>
      </c>
      <c r="L113">
        <f t="shared" si="16"/>
        <v>167</v>
      </c>
    </row>
    <row r="114" spans="1:12" ht="15.75" customHeight="1" x14ac:dyDescent="0.25">
      <c r="A114" s="4">
        <v>103</v>
      </c>
      <c r="B114" s="5">
        <f t="shared" si="17"/>
        <v>45099</v>
      </c>
      <c r="C114" s="6">
        <v>64.039999999999992</v>
      </c>
      <c r="D114" s="18">
        <v>10.1</v>
      </c>
      <c r="E114">
        <v>21.4</v>
      </c>
      <c r="F114">
        <v>24.509999999999998</v>
      </c>
      <c r="G114" s="6">
        <v>159</v>
      </c>
      <c r="H114" s="8">
        <f t="shared" si="12"/>
        <v>64.039999999999992</v>
      </c>
      <c r="I114">
        <f t="shared" si="13"/>
        <v>10.1</v>
      </c>
      <c r="J114">
        <f t="shared" si="14"/>
        <v>21.4</v>
      </c>
      <c r="K114">
        <f t="shared" si="15"/>
        <v>24.509999999999998</v>
      </c>
      <c r="L114">
        <f t="shared" si="16"/>
        <v>159</v>
      </c>
    </row>
    <row r="115" spans="1:12" ht="15.75" customHeight="1" x14ac:dyDescent="0.25">
      <c r="A115" s="4">
        <v>104</v>
      </c>
      <c r="B115" s="5">
        <f t="shared" si="17"/>
        <v>45100</v>
      </c>
      <c r="C115" s="6">
        <v>38.58</v>
      </c>
      <c r="D115" s="18">
        <v>17.2</v>
      </c>
      <c r="E115">
        <v>17.899999999999999</v>
      </c>
      <c r="F115">
        <v>20.23</v>
      </c>
      <c r="G115" s="6">
        <v>111</v>
      </c>
      <c r="H115" s="8">
        <f t="shared" si="12"/>
        <v>38.58</v>
      </c>
      <c r="I115">
        <f t="shared" si="13"/>
        <v>17.2</v>
      </c>
      <c r="J115">
        <f t="shared" si="14"/>
        <v>17.899999999999999</v>
      </c>
      <c r="K115">
        <f t="shared" si="15"/>
        <v>20.23</v>
      </c>
      <c r="L115">
        <f t="shared" si="16"/>
        <v>111</v>
      </c>
    </row>
    <row r="116" spans="1:12" ht="15.75" customHeight="1" x14ac:dyDescent="0.25">
      <c r="A116" s="4">
        <v>105</v>
      </c>
      <c r="B116" s="5">
        <f t="shared" si="17"/>
        <v>45101</v>
      </c>
      <c r="C116" s="6">
        <v>54.64</v>
      </c>
      <c r="D116" s="18">
        <v>34.299999999999997</v>
      </c>
      <c r="E116">
        <v>5.3</v>
      </c>
      <c r="F116">
        <v>38.85</v>
      </c>
      <c r="G116" s="6">
        <v>131</v>
      </c>
      <c r="H116" s="8">
        <f t="shared" si="12"/>
        <v>54.64</v>
      </c>
      <c r="I116">
        <f t="shared" si="13"/>
        <v>34.299999999999997</v>
      </c>
      <c r="J116">
        <f t="shared" si="14"/>
        <v>5.3</v>
      </c>
      <c r="K116">
        <f t="shared" si="15"/>
        <v>38.85</v>
      </c>
      <c r="L116">
        <f t="shared" si="16"/>
        <v>131</v>
      </c>
    </row>
    <row r="117" spans="1:12" ht="15.75" customHeight="1" x14ac:dyDescent="0.25">
      <c r="A117" s="4">
        <v>106</v>
      </c>
      <c r="B117" s="5">
        <f t="shared" si="17"/>
        <v>45102</v>
      </c>
      <c r="C117" s="6">
        <v>37.58</v>
      </c>
      <c r="D117" s="18">
        <v>46.4</v>
      </c>
      <c r="E117">
        <v>59</v>
      </c>
      <c r="F117">
        <v>13.39</v>
      </c>
      <c r="G117" s="6">
        <v>186</v>
      </c>
      <c r="H117" s="8">
        <f t="shared" si="12"/>
        <v>37.58</v>
      </c>
      <c r="I117">
        <f t="shared" si="13"/>
        <v>46.4</v>
      </c>
      <c r="J117">
        <f t="shared" si="14"/>
        <v>59</v>
      </c>
      <c r="K117">
        <f t="shared" si="15"/>
        <v>13.39</v>
      </c>
      <c r="L117">
        <f t="shared" si="16"/>
        <v>186</v>
      </c>
    </row>
    <row r="118" spans="1:12" ht="15.75" customHeight="1" x14ac:dyDescent="0.25">
      <c r="A118" s="4">
        <v>107</v>
      </c>
      <c r="B118" s="5">
        <f t="shared" si="17"/>
        <v>45103</v>
      </c>
      <c r="C118" s="6">
        <v>8</v>
      </c>
      <c r="D118" s="18">
        <v>11</v>
      </c>
      <c r="E118">
        <v>29.7</v>
      </c>
      <c r="F118">
        <v>16.119999999999997</v>
      </c>
      <c r="G118" s="6">
        <v>169</v>
      </c>
      <c r="H118" s="8">
        <f t="shared" si="12"/>
        <v>8</v>
      </c>
      <c r="I118">
        <f t="shared" si="13"/>
        <v>11</v>
      </c>
      <c r="J118">
        <f t="shared" si="14"/>
        <v>29.7</v>
      </c>
      <c r="K118">
        <f t="shared" si="15"/>
        <v>16.119999999999997</v>
      </c>
      <c r="L118">
        <f t="shared" si="16"/>
        <v>169</v>
      </c>
    </row>
    <row r="119" spans="1:12" ht="15.75" customHeight="1" x14ac:dyDescent="0.25">
      <c r="A119" s="4">
        <v>108</v>
      </c>
      <c r="B119" s="5">
        <f t="shared" si="17"/>
        <v>45104</v>
      </c>
      <c r="C119" s="6">
        <v>27.080000000000002</v>
      </c>
      <c r="D119" s="18">
        <v>0.3</v>
      </c>
      <c r="E119">
        <v>23.2</v>
      </c>
      <c r="F119">
        <v>19.910000000000004</v>
      </c>
      <c r="G119" s="6">
        <v>175</v>
      </c>
      <c r="H119" s="8">
        <f t="shared" si="12"/>
        <v>27.080000000000002</v>
      </c>
      <c r="I119">
        <f t="shared" si="13"/>
        <v>0.3</v>
      </c>
      <c r="J119">
        <f t="shared" si="14"/>
        <v>23.2</v>
      </c>
      <c r="K119">
        <f t="shared" si="15"/>
        <v>19.910000000000004</v>
      </c>
      <c r="L119">
        <f t="shared" si="16"/>
        <v>175</v>
      </c>
    </row>
    <row r="120" spans="1:12" ht="15.75" customHeight="1" x14ac:dyDescent="0.25">
      <c r="A120" s="4">
        <v>109</v>
      </c>
      <c r="B120" s="5">
        <f t="shared" si="17"/>
        <v>45105</v>
      </c>
      <c r="C120" s="6">
        <v>9.620000000000001</v>
      </c>
      <c r="D120" s="18">
        <v>0.4</v>
      </c>
      <c r="E120">
        <v>25.6</v>
      </c>
      <c r="F120">
        <v>11.269999999999998</v>
      </c>
      <c r="G120" s="6">
        <v>240</v>
      </c>
      <c r="H120" s="8">
        <f t="shared" si="12"/>
        <v>9.620000000000001</v>
      </c>
      <c r="I120">
        <f t="shared" si="13"/>
        <v>0.4</v>
      </c>
      <c r="J120">
        <f t="shared" si="14"/>
        <v>25.6</v>
      </c>
      <c r="K120">
        <f t="shared" si="15"/>
        <v>11.269999999999998</v>
      </c>
      <c r="L120">
        <f t="shared" si="16"/>
        <v>240</v>
      </c>
    </row>
    <row r="121" spans="1:12" ht="15.75" customHeight="1" x14ac:dyDescent="0.25">
      <c r="A121" s="4">
        <v>110</v>
      </c>
      <c r="B121" s="5">
        <f t="shared" si="17"/>
        <v>45106</v>
      </c>
      <c r="C121" s="6">
        <v>53.08</v>
      </c>
      <c r="D121" s="18">
        <v>26.9</v>
      </c>
      <c r="E121">
        <v>5.5</v>
      </c>
      <c r="F121">
        <v>36.789999999999992</v>
      </c>
      <c r="G121" s="6">
        <v>119</v>
      </c>
      <c r="H121" s="8">
        <f t="shared" si="12"/>
        <v>53.08</v>
      </c>
      <c r="I121">
        <f t="shared" si="13"/>
        <v>26.9</v>
      </c>
      <c r="J121">
        <f t="shared" si="14"/>
        <v>5.5</v>
      </c>
      <c r="K121">
        <f t="shared" si="15"/>
        <v>36.789999999999992</v>
      </c>
      <c r="L121">
        <f t="shared" si="16"/>
        <v>119</v>
      </c>
    </row>
    <row r="122" spans="1:12" ht="15.75" customHeight="1" x14ac:dyDescent="0.25">
      <c r="A122" s="4">
        <v>111</v>
      </c>
      <c r="B122" s="5">
        <f t="shared" si="17"/>
        <v>45107</v>
      </c>
      <c r="C122" s="6">
        <v>54.160000000000004</v>
      </c>
      <c r="D122" s="18">
        <v>8.1999999999999993</v>
      </c>
      <c r="E122">
        <v>56.5</v>
      </c>
      <c r="F122">
        <v>4.0799999999999983</v>
      </c>
      <c r="G122" s="6">
        <v>135</v>
      </c>
      <c r="H122" s="8">
        <f t="shared" si="12"/>
        <v>54.160000000000004</v>
      </c>
      <c r="I122">
        <f t="shared" si="13"/>
        <v>8.1999999999999993</v>
      </c>
      <c r="J122">
        <f t="shared" si="14"/>
        <v>56.5</v>
      </c>
      <c r="K122">
        <f t="shared" si="15"/>
        <v>4.0799999999999983</v>
      </c>
      <c r="L122">
        <f t="shared" si="16"/>
        <v>135</v>
      </c>
    </row>
    <row r="123" spans="1:12" ht="15.75" customHeight="1" x14ac:dyDescent="0.25">
      <c r="A123" s="4">
        <v>112</v>
      </c>
      <c r="B123" s="5">
        <f t="shared" si="17"/>
        <v>45108</v>
      </c>
      <c r="C123" s="6">
        <v>55.339999999999996</v>
      </c>
      <c r="D123" s="18">
        <v>38</v>
      </c>
      <c r="E123">
        <v>23.2</v>
      </c>
      <c r="F123">
        <v>33.89</v>
      </c>
      <c r="G123" s="6">
        <v>186</v>
      </c>
      <c r="H123" s="8">
        <f t="shared" si="12"/>
        <v>55.339999999999996</v>
      </c>
      <c r="I123">
        <f t="shared" si="13"/>
        <v>38</v>
      </c>
      <c r="J123">
        <f t="shared" si="14"/>
        <v>23.2</v>
      </c>
      <c r="K123">
        <f t="shared" si="15"/>
        <v>33.89</v>
      </c>
      <c r="L123">
        <f t="shared" si="16"/>
        <v>186</v>
      </c>
    </row>
    <row r="124" spans="1:12" ht="15.75" customHeight="1" x14ac:dyDescent="0.25">
      <c r="A124" s="4">
        <v>113</v>
      </c>
      <c r="B124" s="5">
        <f t="shared" si="17"/>
        <v>45109</v>
      </c>
      <c r="C124" s="6">
        <v>39.14</v>
      </c>
      <c r="D124" s="18">
        <v>15.4</v>
      </c>
      <c r="E124">
        <v>2.4</v>
      </c>
      <c r="F124">
        <v>24.31</v>
      </c>
      <c r="G124" s="6">
        <v>204</v>
      </c>
      <c r="H124" s="8">
        <f t="shared" si="12"/>
        <v>39.14</v>
      </c>
      <c r="I124">
        <f t="shared" si="13"/>
        <v>15.4</v>
      </c>
      <c r="J124">
        <f t="shared" si="14"/>
        <v>2.4</v>
      </c>
      <c r="K124">
        <f t="shared" si="15"/>
        <v>24.31</v>
      </c>
      <c r="L124">
        <f t="shared" si="16"/>
        <v>204</v>
      </c>
    </row>
    <row r="125" spans="1:12" ht="15.75" customHeight="1" x14ac:dyDescent="0.25">
      <c r="A125" s="4">
        <v>114</v>
      </c>
      <c r="B125" s="5">
        <f t="shared" si="17"/>
        <v>45110</v>
      </c>
      <c r="C125" s="6">
        <v>44.92</v>
      </c>
      <c r="D125" s="18">
        <v>20.6</v>
      </c>
      <c r="E125">
        <v>10.7</v>
      </c>
      <c r="F125">
        <v>26.98</v>
      </c>
      <c r="G125" s="6">
        <v>225</v>
      </c>
      <c r="H125" s="8">
        <f t="shared" si="12"/>
        <v>44.92</v>
      </c>
      <c r="I125">
        <f t="shared" si="13"/>
        <v>20.6</v>
      </c>
      <c r="J125">
        <f t="shared" si="14"/>
        <v>10.7</v>
      </c>
      <c r="K125">
        <f t="shared" si="15"/>
        <v>26.98</v>
      </c>
      <c r="L125">
        <f t="shared" si="16"/>
        <v>225</v>
      </c>
    </row>
    <row r="126" spans="1:12" ht="15.75" customHeight="1" x14ac:dyDescent="0.25">
      <c r="A126" s="4">
        <v>115</v>
      </c>
      <c r="B126" s="5">
        <f t="shared" si="17"/>
        <v>45111</v>
      </c>
      <c r="C126" s="6">
        <v>18.64</v>
      </c>
      <c r="D126" s="18">
        <v>46.8</v>
      </c>
      <c r="E126">
        <v>34.5</v>
      </c>
      <c r="F126">
        <v>17.419999999999998</v>
      </c>
      <c r="G126" s="6">
        <v>168</v>
      </c>
      <c r="H126" s="8">
        <f t="shared" si="12"/>
        <v>18.64</v>
      </c>
      <c r="I126">
        <f t="shared" si="13"/>
        <v>46.8</v>
      </c>
      <c r="J126">
        <f t="shared" si="14"/>
        <v>34.5</v>
      </c>
      <c r="K126">
        <f t="shared" si="15"/>
        <v>17.419999999999998</v>
      </c>
      <c r="L126">
        <f t="shared" si="16"/>
        <v>168</v>
      </c>
    </row>
    <row r="127" spans="1:12" ht="15.75" customHeight="1" x14ac:dyDescent="0.25">
      <c r="A127" s="4">
        <v>116</v>
      </c>
      <c r="B127" s="5">
        <f t="shared" si="17"/>
        <v>45112</v>
      </c>
      <c r="C127" s="6">
        <v>24.02</v>
      </c>
      <c r="D127" s="18">
        <v>35</v>
      </c>
      <c r="E127">
        <v>52.7</v>
      </c>
      <c r="F127">
        <v>3.9299999999999962</v>
      </c>
      <c r="G127" s="6">
        <v>165</v>
      </c>
      <c r="H127" s="8">
        <f t="shared" si="12"/>
        <v>24.02</v>
      </c>
      <c r="I127">
        <f t="shared" si="13"/>
        <v>35</v>
      </c>
      <c r="J127">
        <f t="shared" si="14"/>
        <v>52.7</v>
      </c>
      <c r="K127">
        <f t="shared" si="15"/>
        <v>3.9299999999999962</v>
      </c>
      <c r="L127">
        <f t="shared" si="16"/>
        <v>165</v>
      </c>
    </row>
    <row r="128" spans="1:12" ht="15.75" customHeight="1" x14ac:dyDescent="0.25">
      <c r="A128" s="4">
        <v>117</v>
      </c>
      <c r="B128" s="5">
        <f t="shared" si="17"/>
        <v>45113</v>
      </c>
      <c r="C128" s="6">
        <v>37.839999999999996</v>
      </c>
      <c r="D128" s="18">
        <v>14.3</v>
      </c>
      <c r="E128">
        <v>25.6</v>
      </c>
      <c r="F128">
        <v>10.829999999999998</v>
      </c>
      <c r="G128" s="6">
        <v>240</v>
      </c>
      <c r="H128" s="8">
        <f t="shared" si="12"/>
        <v>37.839999999999996</v>
      </c>
      <c r="I128">
        <f t="shared" si="13"/>
        <v>14.3</v>
      </c>
      <c r="J128">
        <f t="shared" si="14"/>
        <v>25.6</v>
      </c>
      <c r="K128">
        <f t="shared" si="15"/>
        <v>10.829999999999998</v>
      </c>
      <c r="L128">
        <f t="shared" si="16"/>
        <v>240</v>
      </c>
    </row>
    <row r="129" spans="1:12" ht="15.75" customHeight="1" x14ac:dyDescent="0.25">
      <c r="A129" s="4">
        <v>118</v>
      </c>
      <c r="B129" s="5">
        <f t="shared" si="17"/>
        <v>45114</v>
      </c>
      <c r="C129" s="6">
        <v>25.28</v>
      </c>
      <c r="D129" s="18">
        <v>0.8</v>
      </c>
      <c r="E129">
        <v>14.8</v>
      </c>
      <c r="F129">
        <v>2.12</v>
      </c>
      <c r="G129" s="6">
        <v>159</v>
      </c>
      <c r="H129" s="8">
        <f t="shared" si="12"/>
        <v>25.28</v>
      </c>
      <c r="I129">
        <f t="shared" si="13"/>
        <v>0.8</v>
      </c>
      <c r="J129">
        <f t="shared" si="14"/>
        <v>14.8</v>
      </c>
      <c r="K129">
        <f t="shared" si="15"/>
        <v>2.12</v>
      </c>
      <c r="L129">
        <f t="shared" si="16"/>
        <v>159</v>
      </c>
    </row>
    <row r="130" spans="1:12" ht="15.75" customHeight="1" x14ac:dyDescent="0.25">
      <c r="A130" s="4">
        <v>119</v>
      </c>
      <c r="B130" s="5">
        <f t="shared" si="17"/>
        <v>45115</v>
      </c>
      <c r="C130" s="6">
        <v>29.14</v>
      </c>
      <c r="D130" s="18">
        <v>36.9</v>
      </c>
      <c r="E130">
        <v>79.2</v>
      </c>
      <c r="F130">
        <v>19.339999999999996</v>
      </c>
      <c r="G130" s="6">
        <v>168</v>
      </c>
      <c r="H130" s="8">
        <f t="shared" si="12"/>
        <v>29.14</v>
      </c>
      <c r="I130">
        <f t="shared" si="13"/>
        <v>36.9</v>
      </c>
      <c r="J130">
        <f t="shared" si="14"/>
        <v>79.2</v>
      </c>
      <c r="K130">
        <f t="shared" si="15"/>
        <v>19.339999999999996</v>
      </c>
      <c r="L130">
        <f t="shared" si="16"/>
        <v>168</v>
      </c>
    </row>
    <row r="131" spans="1:12" ht="15.75" customHeight="1" x14ac:dyDescent="0.25">
      <c r="A131" s="4">
        <v>120</v>
      </c>
      <c r="B131" s="5">
        <f t="shared" si="17"/>
        <v>45116</v>
      </c>
      <c r="C131" s="6">
        <v>9.879999999999999</v>
      </c>
      <c r="D131" s="18">
        <v>16</v>
      </c>
      <c r="E131">
        <v>22.3</v>
      </c>
      <c r="F131">
        <v>1.0199999999999996</v>
      </c>
      <c r="G131" s="6">
        <v>163</v>
      </c>
      <c r="H131" s="8">
        <f t="shared" si="12"/>
        <v>9.879999999999999</v>
      </c>
      <c r="I131">
        <f t="shared" si="13"/>
        <v>16</v>
      </c>
      <c r="J131">
        <f t="shared" si="14"/>
        <v>22.3</v>
      </c>
      <c r="K131">
        <f t="shared" si="15"/>
        <v>1.0199999999999996</v>
      </c>
      <c r="L131">
        <f t="shared" si="16"/>
        <v>163</v>
      </c>
    </row>
    <row r="132" spans="1:12" ht="15.75" customHeight="1" x14ac:dyDescent="0.25">
      <c r="A132" s="4">
        <v>121</v>
      </c>
      <c r="B132" s="5">
        <f t="shared" si="17"/>
        <v>45117</v>
      </c>
      <c r="C132" s="6">
        <v>36.260000000000005</v>
      </c>
      <c r="D132" s="18">
        <v>26.8</v>
      </c>
      <c r="E132">
        <v>46.2</v>
      </c>
      <c r="F132">
        <v>9.0500000000000007</v>
      </c>
      <c r="G132" s="6">
        <v>166</v>
      </c>
      <c r="H132" s="8">
        <f t="shared" si="12"/>
        <v>36.260000000000005</v>
      </c>
      <c r="I132">
        <f t="shared" si="13"/>
        <v>26.8</v>
      </c>
      <c r="J132">
        <f t="shared" si="14"/>
        <v>46.2</v>
      </c>
      <c r="K132">
        <f t="shared" si="15"/>
        <v>9.0500000000000007</v>
      </c>
      <c r="L132">
        <f t="shared" si="16"/>
        <v>166</v>
      </c>
    </row>
    <row r="133" spans="1:12" ht="15.75" customHeight="1" x14ac:dyDescent="0.25">
      <c r="A133" s="4">
        <v>122</v>
      </c>
      <c r="B133" s="5">
        <f t="shared" si="17"/>
        <v>45118</v>
      </c>
      <c r="C133" s="6">
        <v>7.76</v>
      </c>
      <c r="D133" s="18">
        <v>21.7</v>
      </c>
      <c r="E133">
        <v>50.4</v>
      </c>
      <c r="F133">
        <v>12.57</v>
      </c>
      <c r="G133" s="6">
        <v>122</v>
      </c>
      <c r="H133" s="8">
        <f t="shared" si="12"/>
        <v>7.76</v>
      </c>
      <c r="I133">
        <f t="shared" si="13"/>
        <v>21.7</v>
      </c>
      <c r="J133">
        <f t="shared" si="14"/>
        <v>50.4</v>
      </c>
      <c r="K133">
        <f t="shared" si="15"/>
        <v>12.57</v>
      </c>
      <c r="L133">
        <f t="shared" si="16"/>
        <v>122</v>
      </c>
    </row>
    <row r="134" spans="1:12" ht="15.75" customHeight="1" x14ac:dyDescent="0.25">
      <c r="A134" s="4">
        <v>123</v>
      </c>
      <c r="B134" s="5">
        <f t="shared" si="17"/>
        <v>45119</v>
      </c>
      <c r="C134" s="6">
        <v>45.8</v>
      </c>
      <c r="D134" s="18">
        <v>2.4</v>
      </c>
      <c r="E134">
        <v>15.6</v>
      </c>
      <c r="F134">
        <v>17.36</v>
      </c>
      <c r="G134" s="6">
        <v>235</v>
      </c>
      <c r="H134" s="8">
        <f t="shared" si="12"/>
        <v>45.8</v>
      </c>
      <c r="I134">
        <f t="shared" si="13"/>
        <v>2.4</v>
      </c>
      <c r="J134">
        <f t="shared" si="14"/>
        <v>15.6</v>
      </c>
      <c r="K134">
        <f t="shared" si="15"/>
        <v>17.36</v>
      </c>
      <c r="L134">
        <f t="shared" si="16"/>
        <v>235</v>
      </c>
    </row>
    <row r="135" spans="1:12" ht="15.75" customHeight="1" x14ac:dyDescent="0.25">
      <c r="A135" s="4">
        <v>124</v>
      </c>
      <c r="B135" s="5">
        <f t="shared" si="17"/>
        <v>45120</v>
      </c>
      <c r="C135" s="6">
        <v>33.619999999999997</v>
      </c>
      <c r="D135" s="18">
        <v>34.6</v>
      </c>
      <c r="E135">
        <v>12.4</v>
      </c>
      <c r="F135">
        <v>24.65</v>
      </c>
      <c r="G135" s="6">
        <v>139</v>
      </c>
      <c r="H135" s="8">
        <f t="shared" si="12"/>
        <v>33.619999999999997</v>
      </c>
      <c r="I135">
        <f t="shared" si="13"/>
        <v>34.6</v>
      </c>
      <c r="J135">
        <f t="shared" si="14"/>
        <v>12.4</v>
      </c>
      <c r="K135">
        <f t="shared" si="15"/>
        <v>24.65</v>
      </c>
      <c r="L135">
        <f t="shared" si="16"/>
        <v>139</v>
      </c>
    </row>
    <row r="136" spans="1:12" ht="15.75" customHeight="1" x14ac:dyDescent="0.25">
      <c r="A136" s="4">
        <v>125</v>
      </c>
      <c r="B136" s="5">
        <f t="shared" si="17"/>
        <v>45121</v>
      </c>
      <c r="C136" s="6">
        <v>51.9</v>
      </c>
      <c r="D136" s="18">
        <v>32.299999999999997</v>
      </c>
      <c r="E136">
        <v>74.2</v>
      </c>
      <c r="F136">
        <v>9.419999999999991</v>
      </c>
      <c r="G136" s="6">
        <v>159</v>
      </c>
      <c r="H136" s="8">
        <f t="shared" si="12"/>
        <v>51.9</v>
      </c>
      <c r="I136">
        <f t="shared" si="13"/>
        <v>32.299999999999997</v>
      </c>
      <c r="J136">
        <f t="shared" si="14"/>
        <v>74.2</v>
      </c>
      <c r="K136">
        <f t="shared" si="15"/>
        <v>9.419999999999991</v>
      </c>
      <c r="L136">
        <f t="shared" si="16"/>
        <v>159</v>
      </c>
    </row>
    <row r="137" spans="1:12" ht="15.75" customHeight="1" x14ac:dyDescent="0.25">
      <c r="A137" s="4">
        <v>126</v>
      </c>
      <c r="B137" s="5">
        <f t="shared" si="17"/>
        <v>45122</v>
      </c>
      <c r="C137" s="6">
        <v>18.440000000000001</v>
      </c>
      <c r="D137" s="18">
        <v>11.8</v>
      </c>
      <c r="E137">
        <v>25.9</v>
      </c>
      <c r="F137">
        <v>4.2600000000000016</v>
      </c>
      <c r="G137" s="6">
        <v>191</v>
      </c>
      <c r="H137" s="8">
        <f t="shared" si="12"/>
        <v>18.440000000000001</v>
      </c>
      <c r="I137">
        <f t="shared" si="13"/>
        <v>11.8</v>
      </c>
      <c r="J137">
        <f t="shared" si="14"/>
        <v>25.9</v>
      </c>
      <c r="K137">
        <f t="shared" si="15"/>
        <v>4.2600000000000016</v>
      </c>
      <c r="L137">
        <f t="shared" si="16"/>
        <v>191</v>
      </c>
    </row>
    <row r="138" spans="1:12" ht="15.75" customHeight="1" x14ac:dyDescent="0.25">
      <c r="A138" s="4">
        <v>127</v>
      </c>
      <c r="B138" s="5">
        <f t="shared" si="17"/>
        <v>45123</v>
      </c>
      <c r="C138" s="6">
        <v>8.56</v>
      </c>
      <c r="D138" s="18">
        <v>38.9</v>
      </c>
      <c r="E138">
        <v>50.6</v>
      </c>
      <c r="F138">
        <v>19.989999999999998</v>
      </c>
      <c r="G138" s="6">
        <v>196</v>
      </c>
      <c r="H138" s="8">
        <f t="shared" si="12"/>
        <v>8.56</v>
      </c>
      <c r="I138">
        <f t="shared" si="13"/>
        <v>38.9</v>
      </c>
      <c r="J138">
        <f t="shared" si="14"/>
        <v>50.6</v>
      </c>
      <c r="K138">
        <f t="shared" si="15"/>
        <v>19.989999999999998</v>
      </c>
      <c r="L138">
        <f t="shared" si="16"/>
        <v>196</v>
      </c>
    </row>
    <row r="139" spans="1:12" ht="15.75" customHeight="1" x14ac:dyDescent="0.25">
      <c r="A139" s="4">
        <v>128</v>
      </c>
      <c r="B139" s="5">
        <f t="shared" si="17"/>
        <v>45124</v>
      </c>
      <c r="C139" s="6">
        <v>71.06</v>
      </c>
      <c r="D139" s="18">
        <v>23.6</v>
      </c>
      <c r="E139">
        <v>9.1999999999999993</v>
      </c>
      <c r="F139">
        <v>31.35</v>
      </c>
      <c r="G139" s="6">
        <v>167</v>
      </c>
      <c r="H139" s="8">
        <f t="shared" si="12"/>
        <v>71.06</v>
      </c>
      <c r="I139">
        <f t="shared" si="13"/>
        <v>23.6</v>
      </c>
      <c r="J139">
        <f t="shared" si="14"/>
        <v>9.1999999999999993</v>
      </c>
      <c r="K139">
        <f t="shared" si="15"/>
        <v>31.35</v>
      </c>
      <c r="L139">
        <f t="shared" si="16"/>
        <v>167</v>
      </c>
    </row>
    <row r="140" spans="1:12" ht="15.75" customHeight="1" x14ac:dyDescent="0.25">
      <c r="A140" s="4">
        <v>129</v>
      </c>
      <c r="B140" s="5">
        <f t="shared" si="17"/>
        <v>45125</v>
      </c>
      <c r="C140" s="6">
        <v>54.06</v>
      </c>
      <c r="D140" s="18">
        <v>49</v>
      </c>
      <c r="E140">
        <v>3.2</v>
      </c>
      <c r="F140">
        <v>45.25</v>
      </c>
      <c r="G140" s="6">
        <v>185</v>
      </c>
      <c r="H140" s="8">
        <f t="shared" si="12"/>
        <v>54.06</v>
      </c>
      <c r="I140">
        <f t="shared" si="13"/>
        <v>49</v>
      </c>
      <c r="J140">
        <f t="shared" si="14"/>
        <v>3.2</v>
      </c>
      <c r="K140">
        <f t="shared" si="15"/>
        <v>41.756249999999994</v>
      </c>
      <c r="L140">
        <f t="shared" si="16"/>
        <v>185</v>
      </c>
    </row>
    <row r="141" spans="1:12" ht="15.75" customHeight="1" x14ac:dyDescent="0.25">
      <c r="A141" s="4">
        <v>130</v>
      </c>
      <c r="B141" s="5">
        <f t="shared" si="17"/>
        <v>45126</v>
      </c>
      <c r="C141" s="6">
        <v>18.920000000000002</v>
      </c>
      <c r="D141" s="18">
        <v>12</v>
      </c>
      <c r="E141">
        <v>43.1</v>
      </c>
      <c r="F141">
        <v>14.719999999999999</v>
      </c>
      <c r="G141" s="6">
        <v>179</v>
      </c>
      <c r="H141" s="8">
        <f t="shared" ref="H141:H204" si="18">IF(C141&gt;$C$2,C131,C141)</f>
        <v>18.920000000000002</v>
      </c>
      <c r="I141">
        <f t="shared" ref="I141:I204" si="19">IF(D141&gt;$D$2,$D$2,D141)</f>
        <v>12</v>
      </c>
      <c r="J141">
        <f t="shared" ref="J141:J204" si="20">IF(E141&gt;$E$2,$E$2,E141)</f>
        <v>43.1</v>
      </c>
      <c r="K141">
        <f t="shared" ref="K141:K204" si="21">IF(F141&gt;$F$2,$F$2,F141)</f>
        <v>14.719999999999999</v>
      </c>
      <c r="L141">
        <f t="shared" ref="L141:L204" si="22">IF(G141&gt;$G$2,$G$2,G141)</f>
        <v>179</v>
      </c>
    </row>
    <row r="142" spans="1:12" ht="15.75" customHeight="1" x14ac:dyDescent="0.25">
      <c r="A142" s="4">
        <v>131</v>
      </c>
      <c r="B142" s="5">
        <f t="shared" si="17"/>
        <v>45127</v>
      </c>
      <c r="C142" s="6">
        <v>6</v>
      </c>
      <c r="D142" s="18">
        <v>39.6</v>
      </c>
      <c r="E142">
        <v>8.6999999999999993</v>
      </c>
      <c r="F142" s="24">
        <v>111</v>
      </c>
      <c r="G142" s="6">
        <v>223</v>
      </c>
      <c r="H142" s="8">
        <f t="shared" si="18"/>
        <v>6</v>
      </c>
      <c r="I142">
        <f t="shared" si="19"/>
        <v>39.6</v>
      </c>
      <c r="J142">
        <f t="shared" si="20"/>
        <v>8.6999999999999993</v>
      </c>
      <c r="K142">
        <f t="shared" si="21"/>
        <v>41.756249999999994</v>
      </c>
      <c r="L142">
        <f t="shared" si="22"/>
        <v>223</v>
      </c>
    </row>
    <row r="143" spans="1:12" ht="15.75" customHeight="1" x14ac:dyDescent="0.25">
      <c r="A143" s="4">
        <v>132</v>
      </c>
      <c r="B143" s="5">
        <f t="shared" si="17"/>
        <v>45128</v>
      </c>
      <c r="C143" s="6">
        <v>55.04</v>
      </c>
      <c r="D143" s="18">
        <v>2.9</v>
      </c>
      <c r="E143">
        <v>43</v>
      </c>
      <c r="F143">
        <v>10.77</v>
      </c>
      <c r="G143" s="6">
        <v>125</v>
      </c>
      <c r="H143" s="8">
        <f t="shared" si="18"/>
        <v>55.04</v>
      </c>
      <c r="I143">
        <f t="shared" si="19"/>
        <v>2.9</v>
      </c>
      <c r="J143">
        <f t="shared" si="20"/>
        <v>43</v>
      </c>
      <c r="K143">
        <f t="shared" si="21"/>
        <v>10.77</v>
      </c>
      <c r="L143">
        <f t="shared" si="22"/>
        <v>125</v>
      </c>
    </row>
    <row r="144" spans="1:12" ht="15.75" customHeight="1" x14ac:dyDescent="0.25">
      <c r="A144" s="4">
        <v>133</v>
      </c>
      <c r="B144" s="5">
        <f t="shared" si="17"/>
        <v>45129</v>
      </c>
      <c r="C144" s="6">
        <v>5.68</v>
      </c>
      <c r="D144" s="18">
        <v>27.2</v>
      </c>
      <c r="E144">
        <v>2.1</v>
      </c>
      <c r="F144">
        <v>13.6</v>
      </c>
      <c r="G144" s="6">
        <v>174</v>
      </c>
      <c r="H144" s="8">
        <f t="shared" si="18"/>
        <v>5.68</v>
      </c>
      <c r="I144">
        <f t="shared" si="19"/>
        <v>27.2</v>
      </c>
      <c r="J144">
        <f t="shared" si="20"/>
        <v>2.1</v>
      </c>
      <c r="K144">
        <f t="shared" si="21"/>
        <v>13.6</v>
      </c>
      <c r="L144">
        <f t="shared" si="22"/>
        <v>174</v>
      </c>
    </row>
    <row r="145" spans="1:12" ht="15.75" customHeight="1" x14ac:dyDescent="0.25">
      <c r="A145" s="4">
        <v>134</v>
      </c>
      <c r="B145" s="5">
        <f>B146</f>
        <v>45130</v>
      </c>
      <c r="C145" s="6">
        <v>45.96</v>
      </c>
      <c r="D145" s="18">
        <v>33.5</v>
      </c>
      <c r="E145">
        <v>45.1</v>
      </c>
      <c r="F145">
        <v>20.69</v>
      </c>
      <c r="G145" s="6">
        <v>228</v>
      </c>
      <c r="H145" s="8">
        <f t="shared" si="18"/>
        <v>45.96</v>
      </c>
      <c r="I145">
        <f t="shared" si="19"/>
        <v>33.5</v>
      </c>
      <c r="J145">
        <f t="shared" si="20"/>
        <v>45.1</v>
      </c>
      <c r="K145">
        <f t="shared" si="21"/>
        <v>20.69</v>
      </c>
      <c r="L145">
        <f t="shared" si="22"/>
        <v>228</v>
      </c>
    </row>
    <row r="146" spans="1:12" ht="15.75" customHeight="1" x14ac:dyDescent="0.25">
      <c r="A146" s="4">
        <v>135</v>
      </c>
      <c r="B146" s="5">
        <f t="shared" ref="B146:B177" si="23">+B147-1</f>
        <v>45130</v>
      </c>
      <c r="C146" s="6">
        <v>14.379999999999999</v>
      </c>
      <c r="D146" s="18">
        <v>38.6</v>
      </c>
      <c r="E146">
        <v>65.599999999999994</v>
      </c>
      <c r="F146">
        <v>16.750000000000004</v>
      </c>
      <c r="G146" s="6">
        <v>137</v>
      </c>
      <c r="H146" s="8">
        <f t="shared" si="18"/>
        <v>14.379999999999999</v>
      </c>
      <c r="I146">
        <f t="shared" si="19"/>
        <v>38.6</v>
      </c>
      <c r="J146">
        <f t="shared" si="20"/>
        <v>65.599999999999994</v>
      </c>
      <c r="K146">
        <f t="shared" si="21"/>
        <v>16.750000000000004</v>
      </c>
      <c r="L146">
        <f t="shared" si="22"/>
        <v>137</v>
      </c>
    </row>
    <row r="147" spans="1:12" ht="15.75" customHeight="1" x14ac:dyDescent="0.25">
      <c r="A147" s="4">
        <v>136</v>
      </c>
      <c r="B147" s="5">
        <f t="shared" si="23"/>
        <v>45131</v>
      </c>
      <c r="C147" s="6">
        <v>14.66</v>
      </c>
      <c r="D147" s="18">
        <v>47</v>
      </c>
      <c r="E147">
        <v>8.5</v>
      </c>
      <c r="F147">
        <v>24.93</v>
      </c>
      <c r="G147" s="6">
        <v>149</v>
      </c>
      <c r="H147" s="8">
        <f t="shared" si="18"/>
        <v>14.66</v>
      </c>
      <c r="I147">
        <f t="shared" si="19"/>
        <v>47</v>
      </c>
      <c r="J147">
        <f t="shared" si="20"/>
        <v>8.5</v>
      </c>
      <c r="K147">
        <f t="shared" si="21"/>
        <v>24.93</v>
      </c>
      <c r="L147">
        <f t="shared" si="22"/>
        <v>149</v>
      </c>
    </row>
    <row r="148" spans="1:12" ht="15.75" customHeight="1" x14ac:dyDescent="0.25">
      <c r="A148" s="4">
        <v>137</v>
      </c>
      <c r="B148" s="5">
        <f t="shared" si="23"/>
        <v>45132</v>
      </c>
      <c r="C148" s="6">
        <v>10.120000000000001</v>
      </c>
      <c r="D148" s="18">
        <v>39</v>
      </c>
      <c r="E148">
        <v>9.3000000000000007</v>
      </c>
      <c r="F148">
        <v>18.339999999999996</v>
      </c>
      <c r="G148" s="6">
        <v>132</v>
      </c>
      <c r="H148" s="8">
        <f t="shared" si="18"/>
        <v>10.120000000000001</v>
      </c>
      <c r="I148">
        <f t="shared" si="19"/>
        <v>39</v>
      </c>
      <c r="J148">
        <f t="shared" si="20"/>
        <v>9.3000000000000007</v>
      </c>
      <c r="K148">
        <f t="shared" si="21"/>
        <v>18.339999999999996</v>
      </c>
      <c r="L148">
        <f t="shared" si="22"/>
        <v>132</v>
      </c>
    </row>
    <row r="149" spans="1:12" ht="15.75" customHeight="1" x14ac:dyDescent="0.25">
      <c r="A149" s="4">
        <v>138</v>
      </c>
      <c r="B149" s="5">
        <f t="shared" si="23"/>
        <v>45133</v>
      </c>
      <c r="C149" s="6">
        <v>58.739999999999995</v>
      </c>
      <c r="D149" s="18">
        <v>28.9</v>
      </c>
      <c r="E149">
        <v>59.7</v>
      </c>
      <c r="F149">
        <v>17.939999999999991</v>
      </c>
      <c r="G149" s="6">
        <v>188</v>
      </c>
      <c r="H149" s="8">
        <f t="shared" si="18"/>
        <v>58.739999999999995</v>
      </c>
      <c r="I149">
        <f t="shared" si="19"/>
        <v>28.9</v>
      </c>
      <c r="J149">
        <f t="shared" si="20"/>
        <v>59.7</v>
      </c>
      <c r="K149">
        <f t="shared" si="21"/>
        <v>17.939999999999991</v>
      </c>
      <c r="L149">
        <f t="shared" si="22"/>
        <v>188</v>
      </c>
    </row>
    <row r="150" spans="1:12" ht="15.75" customHeight="1" x14ac:dyDescent="0.25">
      <c r="A150" s="4">
        <v>139</v>
      </c>
      <c r="B150" s="5">
        <f t="shared" si="23"/>
        <v>45134</v>
      </c>
      <c r="C150" s="6">
        <v>9.6</v>
      </c>
      <c r="D150" s="18">
        <v>25.9</v>
      </c>
      <c r="E150">
        <v>20.5</v>
      </c>
      <c r="F150">
        <v>9.0499999999999989</v>
      </c>
      <c r="G150" s="22">
        <v>811</v>
      </c>
      <c r="H150" s="8">
        <f t="shared" si="18"/>
        <v>9.6</v>
      </c>
      <c r="I150">
        <f t="shared" si="19"/>
        <v>25.9</v>
      </c>
      <c r="J150">
        <f t="shared" si="20"/>
        <v>20.5</v>
      </c>
      <c r="K150">
        <f t="shared" si="21"/>
        <v>9.0499999999999989</v>
      </c>
      <c r="L150">
        <f t="shared" si="22"/>
        <v>294</v>
      </c>
    </row>
    <row r="151" spans="1:12" ht="15.75" customHeight="1" x14ac:dyDescent="0.25">
      <c r="A151" s="4">
        <v>140</v>
      </c>
      <c r="B151" s="5">
        <f t="shared" si="23"/>
        <v>45135</v>
      </c>
      <c r="C151" s="22">
        <v>196.98</v>
      </c>
      <c r="D151" s="18">
        <v>43.9</v>
      </c>
      <c r="E151">
        <v>1.7</v>
      </c>
      <c r="F151">
        <v>39.76</v>
      </c>
      <c r="G151" s="6">
        <v>129</v>
      </c>
      <c r="H151" s="8">
        <f t="shared" si="18"/>
        <v>18.920000000000002</v>
      </c>
      <c r="I151">
        <f t="shared" si="19"/>
        <v>43.9</v>
      </c>
      <c r="J151">
        <f t="shared" si="20"/>
        <v>1.7</v>
      </c>
      <c r="K151">
        <f t="shared" si="21"/>
        <v>39.76</v>
      </c>
      <c r="L151">
        <f t="shared" si="22"/>
        <v>129</v>
      </c>
    </row>
    <row r="152" spans="1:12" ht="15.75" customHeight="1" x14ac:dyDescent="0.25">
      <c r="A152" s="4">
        <v>141</v>
      </c>
      <c r="B152" s="5">
        <f t="shared" si="23"/>
        <v>45136</v>
      </c>
      <c r="C152" s="6">
        <v>21</v>
      </c>
      <c r="D152" s="18">
        <v>17</v>
      </c>
      <c r="E152">
        <v>12.9</v>
      </c>
      <c r="F152">
        <v>10.68</v>
      </c>
      <c r="G152" s="6">
        <v>229</v>
      </c>
      <c r="H152" s="8">
        <f t="shared" si="18"/>
        <v>21</v>
      </c>
      <c r="I152">
        <f t="shared" si="19"/>
        <v>17</v>
      </c>
      <c r="J152">
        <f t="shared" si="20"/>
        <v>12.9</v>
      </c>
      <c r="K152">
        <f t="shared" si="21"/>
        <v>10.68</v>
      </c>
      <c r="L152">
        <f t="shared" si="22"/>
        <v>229</v>
      </c>
    </row>
    <row r="153" spans="1:12" ht="15.75" customHeight="1" x14ac:dyDescent="0.25">
      <c r="A153" s="4">
        <v>142</v>
      </c>
      <c r="B153" s="5">
        <f t="shared" si="23"/>
        <v>45137</v>
      </c>
      <c r="C153" s="6">
        <v>49</v>
      </c>
      <c r="D153" s="18">
        <v>35.4</v>
      </c>
      <c r="E153">
        <v>75.599999999999994</v>
      </c>
      <c r="F153">
        <v>6.8299999999999947</v>
      </c>
      <c r="G153" s="6">
        <v>127</v>
      </c>
      <c r="H153" s="8">
        <f t="shared" si="18"/>
        <v>49</v>
      </c>
      <c r="I153">
        <f t="shared" si="19"/>
        <v>35.4</v>
      </c>
      <c r="J153">
        <f t="shared" si="20"/>
        <v>75.599999999999994</v>
      </c>
      <c r="K153">
        <f t="shared" si="21"/>
        <v>6.8299999999999947</v>
      </c>
      <c r="L153">
        <f t="shared" si="22"/>
        <v>127</v>
      </c>
    </row>
    <row r="154" spans="1:12" ht="15.75" customHeight="1" x14ac:dyDescent="0.25">
      <c r="A154" s="4">
        <v>143</v>
      </c>
      <c r="B154" s="5">
        <f t="shared" si="23"/>
        <v>45138</v>
      </c>
      <c r="C154" s="6">
        <v>50.1</v>
      </c>
      <c r="D154" s="18">
        <v>33.200000000000003</v>
      </c>
      <c r="E154">
        <v>37.9</v>
      </c>
      <c r="F154">
        <v>23.490000000000006</v>
      </c>
      <c r="G154" s="6">
        <v>207</v>
      </c>
      <c r="H154" s="8">
        <f t="shared" si="18"/>
        <v>50.1</v>
      </c>
      <c r="I154">
        <f t="shared" si="19"/>
        <v>33.200000000000003</v>
      </c>
      <c r="J154">
        <f t="shared" si="20"/>
        <v>37.9</v>
      </c>
      <c r="K154">
        <f t="shared" si="21"/>
        <v>23.490000000000006</v>
      </c>
      <c r="L154">
        <f t="shared" si="22"/>
        <v>207</v>
      </c>
    </row>
    <row r="155" spans="1:12" ht="15.75" customHeight="1" x14ac:dyDescent="0.25">
      <c r="A155" s="4">
        <v>144</v>
      </c>
      <c r="B155" s="5">
        <f t="shared" si="23"/>
        <v>45139</v>
      </c>
      <c r="C155" s="6">
        <v>28.919999999999998</v>
      </c>
      <c r="D155" s="18">
        <v>5.7</v>
      </c>
      <c r="E155">
        <v>34.4</v>
      </c>
      <c r="F155">
        <v>19.549999999999997</v>
      </c>
      <c r="G155" s="6">
        <v>168</v>
      </c>
      <c r="H155" s="8">
        <f t="shared" si="18"/>
        <v>28.919999999999998</v>
      </c>
      <c r="I155">
        <f t="shared" si="19"/>
        <v>5.7</v>
      </c>
      <c r="J155">
        <f t="shared" si="20"/>
        <v>34.4</v>
      </c>
      <c r="K155">
        <f t="shared" si="21"/>
        <v>19.549999999999997</v>
      </c>
      <c r="L155">
        <f t="shared" si="22"/>
        <v>168</v>
      </c>
    </row>
    <row r="156" spans="1:12" ht="15.75" customHeight="1" x14ac:dyDescent="0.25">
      <c r="A156" s="4">
        <v>145</v>
      </c>
      <c r="B156" s="5">
        <f t="shared" si="23"/>
        <v>45140</v>
      </c>
      <c r="C156" s="6">
        <v>29.240000000000002</v>
      </c>
      <c r="D156" s="18">
        <v>14.8</v>
      </c>
      <c r="E156">
        <v>38.9</v>
      </c>
      <c r="F156">
        <v>1.4600000000000026</v>
      </c>
      <c r="G156" s="6">
        <v>239</v>
      </c>
      <c r="H156" s="8">
        <f t="shared" si="18"/>
        <v>29.240000000000002</v>
      </c>
      <c r="I156">
        <f t="shared" si="19"/>
        <v>14.8</v>
      </c>
      <c r="J156">
        <f t="shared" si="20"/>
        <v>38.9</v>
      </c>
      <c r="K156">
        <f t="shared" si="21"/>
        <v>1.4600000000000026</v>
      </c>
      <c r="L156">
        <f t="shared" si="22"/>
        <v>239</v>
      </c>
    </row>
    <row r="157" spans="1:12" ht="15.75" customHeight="1" x14ac:dyDescent="0.25">
      <c r="A157" s="4">
        <v>146</v>
      </c>
      <c r="B157" s="5">
        <f t="shared" si="23"/>
        <v>45141</v>
      </c>
      <c r="C157" s="6">
        <v>31.060000000000002</v>
      </c>
      <c r="D157" s="18">
        <v>1.9</v>
      </c>
      <c r="E157">
        <v>9</v>
      </c>
      <c r="F157">
        <v>11.38</v>
      </c>
      <c r="G157" s="6">
        <v>175</v>
      </c>
      <c r="H157" s="8">
        <f t="shared" si="18"/>
        <v>31.060000000000002</v>
      </c>
      <c r="I157">
        <f t="shared" si="19"/>
        <v>1.9</v>
      </c>
      <c r="J157">
        <f t="shared" si="20"/>
        <v>9</v>
      </c>
      <c r="K157">
        <f t="shared" si="21"/>
        <v>11.38</v>
      </c>
      <c r="L157">
        <f t="shared" si="22"/>
        <v>175</v>
      </c>
    </row>
    <row r="158" spans="1:12" ht="15.75" customHeight="1" x14ac:dyDescent="0.25">
      <c r="A158" s="4">
        <v>147</v>
      </c>
      <c r="B158" s="5">
        <f t="shared" si="23"/>
        <v>45142</v>
      </c>
      <c r="C158" s="6">
        <v>55.019999999999996</v>
      </c>
      <c r="D158" s="18">
        <v>7.3</v>
      </c>
      <c r="E158">
        <v>8.6999999999999993</v>
      </c>
      <c r="F158">
        <v>24.179999999999996</v>
      </c>
      <c r="G158" s="6">
        <v>218</v>
      </c>
      <c r="H158" s="8">
        <f t="shared" si="18"/>
        <v>55.019999999999996</v>
      </c>
      <c r="I158">
        <f t="shared" si="19"/>
        <v>7.3</v>
      </c>
      <c r="J158">
        <f t="shared" si="20"/>
        <v>8.6999999999999993</v>
      </c>
      <c r="K158">
        <f t="shared" si="21"/>
        <v>24.179999999999996</v>
      </c>
      <c r="L158">
        <f t="shared" si="22"/>
        <v>218</v>
      </c>
    </row>
    <row r="159" spans="1:12" ht="15.75" customHeight="1" x14ac:dyDescent="0.25">
      <c r="A159" s="4">
        <v>148</v>
      </c>
      <c r="B159" s="5">
        <f t="shared" si="23"/>
        <v>45143</v>
      </c>
      <c r="C159" s="6">
        <v>50.64</v>
      </c>
      <c r="D159" s="18">
        <v>49</v>
      </c>
      <c r="E159">
        <v>44.3</v>
      </c>
      <c r="F159">
        <v>31.1</v>
      </c>
      <c r="G159" s="6">
        <v>186</v>
      </c>
      <c r="H159" s="8">
        <f t="shared" si="18"/>
        <v>50.64</v>
      </c>
      <c r="I159">
        <f t="shared" si="19"/>
        <v>49</v>
      </c>
      <c r="J159">
        <f t="shared" si="20"/>
        <v>44.3</v>
      </c>
      <c r="K159">
        <f t="shared" si="21"/>
        <v>31.1</v>
      </c>
      <c r="L159">
        <f t="shared" si="22"/>
        <v>186</v>
      </c>
    </row>
    <row r="160" spans="1:12" ht="15.75" customHeight="1" x14ac:dyDescent="0.25">
      <c r="A160" s="4">
        <v>149</v>
      </c>
      <c r="B160" s="5">
        <f t="shared" si="23"/>
        <v>45144</v>
      </c>
      <c r="C160" s="6">
        <v>15.6</v>
      </c>
      <c r="D160" s="18">
        <v>40.299999999999997</v>
      </c>
      <c r="E160">
        <v>11.9</v>
      </c>
      <c r="F160">
        <v>19.189999999999998</v>
      </c>
      <c r="G160" s="6">
        <v>265</v>
      </c>
      <c r="H160" s="8">
        <f t="shared" si="18"/>
        <v>15.6</v>
      </c>
      <c r="I160">
        <f t="shared" si="19"/>
        <v>40.299999999999997</v>
      </c>
      <c r="J160">
        <f t="shared" si="20"/>
        <v>11.9</v>
      </c>
      <c r="K160">
        <f t="shared" si="21"/>
        <v>19.189999999999998</v>
      </c>
      <c r="L160">
        <f t="shared" si="22"/>
        <v>265</v>
      </c>
    </row>
    <row r="161" spans="1:12" ht="15.75" customHeight="1" x14ac:dyDescent="0.25">
      <c r="A161" s="4">
        <v>150</v>
      </c>
      <c r="B161" s="5">
        <f t="shared" si="23"/>
        <v>45145</v>
      </c>
      <c r="C161" s="22">
        <v>164</v>
      </c>
      <c r="D161" s="18">
        <v>25.8</v>
      </c>
      <c r="E161">
        <v>20.6</v>
      </c>
      <c r="F161">
        <v>9.1300000000000008</v>
      </c>
      <c r="G161" s="6">
        <v>187</v>
      </c>
      <c r="H161" s="8">
        <f t="shared" si="18"/>
        <v>196.98</v>
      </c>
      <c r="I161">
        <f t="shared" si="19"/>
        <v>25.8</v>
      </c>
      <c r="J161">
        <f t="shared" si="20"/>
        <v>20.6</v>
      </c>
      <c r="K161">
        <f t="shared" si="21"/>
        <v>9.1300000000000008</v>
      </c>
      <c r="L161">
        <f t="shared" si="22"/>
        <v>187</v>
      </c>
    </row>
    <row r="162" spans="1:12" ht="15.75" customHeight="1" x14ac:dyDescent="0.25">
      <c r="A162" s="4">
        <v>151</v>
      </c>
      <c r="B162" s="5">
        <f t="shared" si="23"/>
        <v>45146</v>
      </c>
      <c r="C162" s="6">
        <v>66.14</v>
      </c>
      <c r="D162" s="18">
        <v>13.9</v>
      </c>
      <c r="E162">
        <v>37</v>
      </c>
      <c r="F162">
        <v>20.220000000000002</v>
      </c>
      <c r="G162" s="6">
        <v>151.5</v>
      </c>
      <c r="H162" s="8">
        <f t="shared" si="18"/>
        <v>66.14</v>
      </c>
      <c r="I162">
        <f t="shared" si="19"/>
        <v>13.9</v>
      </c>
      <c r="J162">
        <f t="shared" si="20"/>
        <v>37</v>
      </c>
      <c r="K162">
        <f t="shared" si="21"/>
        <v>20.220000000000002</v>
      </c>
      <c r="L162">
        <f t="shared" si="22"/>
        <v>151.5</v>
      </c>
    </row>
    <row r="163" spans="1:12" ht="15.75" customHeight="1" x14ac:dyDescent="0.25">
      <c r="A163" s="4">
        <v>152</v>
      </c>
      <c r="B163" s="5">
        <f t="shared" si="23"/>
        <v>45147</v>
      </c>
      <c r="C163" s="6">
        <v>31.2</v>
      </c>
      <c r="D163" s="18">
        <v>8.4</v>
      </c>
      <c r="E163">
        <v>48.7</v>
      </c>
      <c r="F163">
        <v>16.819999999999997</v>
      </c>
      <c r="G163" s="6">
        <v>149</v>
      </c>
      <c r="H163" s="8">
        <f t="shared" si="18"/>
        <v>31.2</v>
      </c>
      <c r="I163">
        <f t="shared" si="19"/>
        <v>8.4</v>
      </c>
      <c r="J163">
        <f t="shared" si="20"/>
        <v>48.7</v>
      </c>
      <c r="K163">
        <f t="shared" si="21"/>
        <v>16.819999999999997</v>
      </c>
      <c r="L163">
        <f t="shared" si="22"/>
        <v>149</v>
      </c>
    </row>
    <row r="164" spans="1:12" ht="15.75" customHeight="1" x14ac:dyDescent="0.25">
      <c r="A164" s="4">
        <v>153</v>
      </c>
      <c r="B164" s="5">
        <f t="shared" si="23"/>
        <v>45148</v>
      </c>
      <c r="C164" s="6">
        <v>40.519999999999996</v>
      </c>
      <c r="D164" s="18">
        <v>23.3</v>
      </c>
      <c r="E164">
        <v>14.2</v>
      </c>
      <c r="F164">
        <v>25.729999999999997</v>
      </c>
      <c r="G164" s="6">
        <v>137</v>
      </c>
      <c r="H164" s="8">
        <f t="shared" si="18"/>
        <v>40.519999999999996</v>
      </c>
      <c r="I164">
        <f t="shared" si="19"/>
        <v>23.3</v>
      </c>
      <c r="J164">
        <f t="shared" si="20"/>
        <v>14.2</v>
      </c>
      <c r="K164">
        <f t="shared" si="21"/>
        <v>25.729999999999997</v>
      </c>
      <c r="L164">
        <f t="shared" si="22"/>
        <v>137</v>
      </c>
    </row>
    <row r="165" spans="1:12" ht="15.75" customHeight="1" x14ac:dyDescent="0.25">
      <c r="A165" s="4">
        <v>154</v>
      </c>
      <c r="B165" s="5">
        <f t="shared" si="23"/>
        <v>45149</v>
      </c>
      <c r="C165" s="6">
        <v>37.260000000000005</v>
      </c>
      <c r="D165" s="18">
        <v>39.700000000000003</v>
      </c>
      <c r="E165">
        <v>37.700000000000003</v>
      </c>
      <c r="F165">
        <v>21.900000000000002</v>
      </c>
      <c r="G165" s="6">
        <v>196</v>
      </c>
      <c r="H165" s="8">
        <f t="shared" si="18"/>
        <v>37.260000000000005</v>
      </c>
      <c r="I165">
        <f t="shared" si="19"/>
        <v>39.700000000000003</v>
      </c>
      <c r="J165">
        <f t="shared" si="20"/>
        <v>37.700000000000003</v>
      </c>
      <c r="K165">
        <f t="shared" si="21"/>
        <v>21.900000000000002</v>
      </c>
      <c r="L165">
        <f t="shared" si="22"/>
        <v>196</v>
      </c>
    </row>
    <row r="166" spans="1:12" ht="15.75" customHeight="1" x14ac:dyDescent="0.25">
      <c r="A166" s="4">
        <v>155</v>
      </c>
      <c r="B166" s="5">
        <f t="shared" si="23"/>
        <v>45150</v>
      </c>
      <c r="C166" s="6">
        <v>43.56</v>
      </c>
      <c r="D166" s="18">
        <v>21.1</v>
      </c>
      <c r="E166">
        <v>9.5</v>
      </c>
      <c r="F166">
        <v>25.53</v>
      </c>
      <c r="G166" s="6">
        <v>201</v>
      </c>
      <c r="H166" s="8">
        <f t="shared" si="18"/>
        <v>43.56</v>
      </c>
      <c r="I166">
        <f t="shared" si="19"/>
        <v>21.1</v>
      </c>
      <c r="J166">
        <f t="shared" si="20"/>
        <v>9.5</v>
      </c>
      <c r="K166">
        <f t="shared" si="21"/>
        <v>25.53</v>
      </c>
      <c r="L166">
        <f t="shared" si="22"/>
        <v>201</v>
      </c>
    </row>
    <row r="167" spans="1:12" ht="15.75" customHeight="1" x14ac:dyDescent="0.25">
      <c r="A167" s="4">
        <v>156</v>
      </c>
      <c r="B167" s="5">
        <f t="shared" si="23"/>
        <v>45151</v>
      </c>
      <c r="C167" s="6">
        <v>9.82</v>
      </c>
      <c r="D167" s="18">
        <v>11.6</v>
      </c>
      <c r="E167">
        <v>5.7</v>
      </c>
      <c r="F167" s="24">
        <v>92</v>
      </c>
      <c r="G167" s="6">
        <v>139</v>
      </c>
      <c r="H167" s="8">
        <f t="shared" si="18"/>
        <v>9.82</v>
      </c>
      <c r="I167">
        <f t="shared" si="19"/>
        <v>11.6</v>
      </c>
      <c r="J167">
        <f t="shared" si="20"/>
        <v>5.7</v>
      </c>
      <c r="K167">
        <f t="shared" si="21"/>
        <v>41.756249999999994</v>
      </c>
      <c r="L167">
        <f t="shared" si="22"/>
        <v>139</v>
      </c>
    </row>
    <row r="168" spans="1:12" ht="15.75" customHeight="1" x14ac:dyDescent="0.25">
      <c r="A168" s="4">
        <v>157</v>
      </c>
      <c r="B168" s="5">
        <f t="shared" si="23"/>
        <v>45152</v>
      </c>
      <c r="C168" s="6">
        <v>25.78</v>
      </c>
      <c r="D168" s="18">
        <v>43.5</v>
      </c>
      <c r="E168">
        <v>50.5</v>
      </c>
      <c r="F168">
        <v>10.939999999999998</v>
      </c>
      <c r="G168" s="6">
        <v>124</v>
      </c>
      <c r="H168" s="8">
        <f t="shared" si="18"/>
        <v>25.78</v>
      </c>
      <c r="I168">
        <f t="shared" si="19"/>
        <v>43.5</v>
      </c>
      <c r="J168">
        <f t="shared" si="20"/>
        <v>50.5</v>
      </c>
      <c r="K168">
        <f t="shared" si="21"/>
        <v>10.939999999999998</v>
      </c>
      <c r="L168">
        <f t="shared" si="22"/>
        <v>124</v>
      </c>
    </row>
    <row r="169" spans="1:12" ht="15.75" customHeight="1" x14ac:dyDescent="0.25">
      <c r="A169" s="4">
        <v>158</v>
      </c>
      <c r="B169" s="5">
        <f t="shared" si="23"/>
        <v>45153</v>
      </c>
      <c r="C169" s="6">
        <v>39.96</v>
      </c>
      <c r="D169" s="18">
        <v>1.3</v>
      </c>
      <c r="E169">
        <v>24.3</v>
      </c>
      <c r="F169">
        <v>5.91</v>
      </c>
      <c r="G169" s="6">
        <v>199</v>
      </c>
      <c r="H169" s="8">
        <f t="shared" si="18"/>
        <v>39.96</v>
      </c>
      <c r="I169">
        <f t="shared" si="19"/>
        <v>1.3</v>
      </c>
      <c r="J169">
        <f t="shared" si="20"/>
        <v>24.3</v>
      </c>
      <c r="K169">
        <f t="shared" si="21"/>
        <v>5.91</v>
      </c>
      <c r="L169">
        <f t="shared" si="22"/>
        <v>199</v>
      </c>
    </row>
    <row r="170" spans="1:12" ht="15.75" customHeight="1" x14ac:dyDescent="0.25">
      <c r="A170" s="4">
        <v>159</v>
      </c>
      <c r="B170" s="5">
        <f t="shared" si="23"/>
        <v>45154</v>
      </c>
      <c r="C170" s="6">
        <v>12.34</v>
      </c>
      <c r="D170" s="18">
        <v>36.9</v>
      </c>
      <c r="E170">
        <v>45.2</v>
      </c>
      <c r="F170">
        <v>1.5399999999999956</v>
      </c>
      <c r="G170" s="6">
        <v>245</v>
      </c>
      <c r="H170" s="8">
        <f t="shared" si="18"/>
        <v>12.34</v>
      </c>
      <c r="I170">
        <f t="shared" si="19"/>
        <v>36.9</v>
      </c>
      <c r="J170">
        <f t="shared" si="20"/>
        <v>45.2</v>
      </c>
      <c r="K170">
        <f t="shared" si="21"/>
        <v>1.5399999999999956</v>
      </c>
      <c r="L170">
        <f t="shared" si="22"/>
        <v>245</v>
      </c>
    </row>
    <row r="171" spans="1:12" ht="15.75" customHeight="1" x14ac:dyDescent="0.25">
      <c r="A171" s="4">
        <v>160</v>
      </c>
      <c r="B171" s="5">
        <f t="shared" si="23"/>
        <v>45155</v>
      </c>
      <c r="C171" s="6">
        <v>32.339999999999996</v>
      </c>
      <c r="D171" s="18">
        <v>18.399999999999999</v>
      </c>
      <c r="E171">
        <v>34.6</v>
      </c>
      <c r="F171">
        <v>8.5299999999999958</v>
      </c>
      <c r="G171" s="6">
        <v>183</v>
      </c>
      <c r="H171" s="8">
        <f t="shared" si="18"/>
        <v>32.339999999999996</v>
      </c>
      <c r="I171">
        <f t="shared" si="19"/>
        <v>18.399999999999999</v>
      </c>
      <c r="J171">
        <f t="shared" si="20"/>
        <v>34.6</v>
      </c>
      <c r="K171">
        <f t="shared" si="21"/>
        <v>8.5299999999999958</v>
      </c>
      <c r="L171">
        <f t="shared" si="22"/>
        <v>183</v>
      </c>
    </row>
    <row r="172" spans="1:12" ht="15.75" customHeight="1" x14ac:dyDescent="0.25">
      <c r="A172" s="4">
        <v>161</v>
      </c>
      <c r="B172" s="5">
        <f t="shared" si="23"/>
        <v>45156</v>
      </c>
      <c r="C172" s="6">
        <v>44.5</v>
      </c>
      <c r="D172" s="18">
        <v>18.100000000000001</v>
      </c>
      <c r="E172">
        <v>30.7</v>
      </c>
      <c r="F172">
        <v>14.02</v>
      </c>
      <c r="G172" s="6">
        <v>127</v>
      </c>
      <c r="H172" s="8">
        <f t="shared" si="18"/>
        <v>44.5</v>
      </c>
      <c r="I172">
        <f t="shared" si="19"/>
        <v>18.100000000000001</v>
      </c>
      <c r="J172">
        <f t="shared" si="20"/>
        <v>30.7</v>
      </c>
      <c r="K172">
        <f t="shared" si="21"/>
        <v>14.02</v>
      </c>
      <c r="L172">
        <f t="shared" si="22"/>
        <v>127</v>
      </c>
    </row>
    <row r="173" spans="1:12" ht="15.75" customHeight="1" x14ac:dyDescent="0.25">
      <c r="A173" s="4">
        <v>162</v>
      </c>
      <c r="B173" s="5">
        <f t="shared" si="23"/>
        <v>45157</v>
      </c>
      <c r="C173" s="6">
        <v>19.14</v>
      </c>
      <c r="D173" s="18">
        <v>35.799999999999997</v>
      </c>
      <c r="E173">
        <v>49.3</v>
      </c>
      <c r="F173">
        <v>6.75</v>
      </c>
      <c r="G173" s="6">
        <v>230</v>
      </c>
      <c r="H173" s="8">
        <f t="shared" si="18"/>
        <v>19.14</v>
      </c>
      <c r="I173">
        <f t="shared" si="19"/>
        <v>35.799999999999997</v>
      </c>
      <c r="J173">
        <f t="shared" si="20"/>
        <v>49.3</v>
      </c>
      <c r="K173">
        <f t="shared" si="21"/>
        <v>6.75</v>
      </c>
      <c r="L173">
        <f t="shared" si="22"/>
        <v>230</v>
      </c>
    </row>
    <row r="174" spans="1:12" ht="15.75" customHeight="1" x14ac:dyDescent="0.25">
      <c r="A174" s="4">
        <v>163</v>
      </c>
      <c r="B174" s="5">
        <f t="shared" si="23"/>
        <v>45158</v>
      </c>
      <c r="C174" s="6">
        <v>42.68</v>
      </c>
      <c r="D174" s="18">
        <v>23.6</v>
      </c>
      <c r="E174">
        <v>25.9</v>
      </c>
      <c r="F174">
        <v>17.649999999999999</v>
      </c>
      <c r="G174" s="6">
        <v>170</v>
      </c>
      <c r="H174" s="8">
        <f t="shared" si="18"/>
        <v>42.68</v>
      </c>
      <c r="I174">
        <f t="shared" si="19"/>
        <v>23.6</v>
      </c>
      <c r="J174">
        <f t="shared" si="20"/>
        <v>25.9</v>
      </c>
      <c r="K174">
        <f t="shared" si="21"/>
        <v>17.649999999999999</v>
      </c>
      <c r="L174">
        <f t="shared" si="22"/>
        <v>170</v>
      </c>
    </row>
    <row r="175" spans="1:12" ht="15.75" customHeight="1" x14ac:dyDescent="0.25">
      <c r="A175" s="4">
        <v>164</v>
      </c>
      <c r="B175" s="5">
        <f t="shared" si="23"/>
        <v>45159</v>
      </c>
      <c r="C175" s="6">
        <v>33.700000000000003</v>
      </c>
      <c r="D175" s="18">
        <v>36.799999999999997</v>
      </c>
      <c r="E175">
        <v>7.4</v>
      </c>
      <c r="F175">
        <v>31.79</v>
      </c>
      <c r="G175" s="6">
        <v>264</v>
      </c>
      <c r="H175" s="8">
        <f t="shared" si="18"/>
        <v>33.700000000000003</v>
      </c>
      <c r="I175">
        <f t="shared" si="19"/>
        <v>36.799999999999997</v>
      </c>
      <c r="J175">
        <f t="shared" si="20"/>
        <v>7.4</v>
      </c>
      <c r="K175">
        <f t="shared" si="21"/>
        <v>31.79</v>
      </c>
      <c r="L175">
        <f t="shared" si="22"/>
        <v>264</v>
      </c>
    </row>
    <row r="176" spans="1:12" ht="15.75" customHeight="1" x14ac:dyDescent="0.25">
      <c r="A176" s="4">
        <v>165</v>
      </c>
      <c r="B176" s="5">
        <f t="shared" si="23"/>
        <v>45160</v>
      </c>
      <c r="C176" s="6">
        <v>28.44</v>
      </c>
      <c r="D176" s="18">
        <v>14.7</v>
      </c>
      <c r="E176">
        <v>5.4</v>
      </c>
      <c r="F176">
        <v>16.91</v>
      </c>
      <c r="G176" s="6">
        <v>150</v>
      </c>
      <c r="H176" s="8">
        <f t="shared" si="18"/>
        <v>28.44</v>
      </c>
      <c r="I176">
        <f t="shared" si="19"/>
        <v>14.7</v>
      </c>
      <c r="J176">
        <f t="shared" si="20"/>
        <v>5.4</v>
      </c>
      <c r="K176">
        <f t="shared" si="21"/>
        <v>16.91</v>
      </c>
      <c r="L176">
        <f t="shared" si="22"/>
        <v>150</v>
      </c>
    </row>
    <row r="177" spans="1:12" ht="15.75" customHeight="1" x14ac:dyDescent="0.25">
      <c r="A177" s="4">
        <v>166</v>
      </c>
      <c r="B177" s="5">
        <f t="shared" si="23"/>
        <v>45161</v>
      </c>
      <c r="C177" s="6">
        <v>56.9</v>
      </c>
      <c r="D177" s="18">
        <v>3.4</v>
      </c>
      <c r="E177">
        <v>84.8</v>
      </c>
      <c r="F177">
        <v>11.229999999999997</v>
      </c>
      <c r="G177" s="6">
        <v>208</v>
      </c>
      <c r="H177" s="8">
        <f t="shared" si="18"/>
        <v>56.9</v>
      </c>
      <c r="I177">
        <f t="shared" si="19"/>
        <v>3.4</v>
      </c>
      <c r="J177">
        <f t="shared" si="20"/>
        <v>84.8</v>
      </c>
      <c r="K177">
        <f t="shared" si="21"/>
        <v>11.229999999999997</v>
      </c>
      <c r="L177">
        <f t="shared" si="22"/>
        <v>208</v>
      </c>
    </row>
    <row r="178" spans="1:12" ht="15.75" customHeight="1" x14ac:dyDescent="0.25">
      <c r="A178" s="4">
        <v>167</v>
      </c>
      <c r="B178" s="5">
        <f t="shared" ref="B178:B210" si="24">+B179-1</f>
        <v>45162</v>
      </c>
      <c r="C178" s="6">
        <v>11.58</v>
      </c>
      <c r="D178" s="18">
        <v>37.6</v>
      </c>
      <c r="E178">
        <v>21.6</v>
      </c>
      <c r="F178">
        <v>11.95</v>
      </c>
      <c r="G178" s="6">
        <v>142</v>
      </c>
      <c r="H178" s="8">
        <f t="shared" si="18"/>
        <v>11.58</v>
      </c>
      <c r="I178">
        <f t="shared" si="19"/>
        <v>37.6</v>
      </c>
      <c r="J178">
        <f t="shared" si="20"/>
        <v>21.6</v>
      </c>
      <c r="K178">
        <f t="shared" si="21"/>
        <v>11.95</v>
      </c>
      <c r="L178">
        <f t="shared" si="22"/>
        <v>142</v>
      </c>
    </row>
    <row r="179" spans="1:12" ht="15.75" customHeight="1" x14ac:dyDescent="0.25">
      <c r="A179" s="4">
        <v>168</v>
      </c>
      <c r="B179" s="5">
        <f t="shared" si="24"/>
        <v>45163</v>
      </c>
      <c r="C179" s="6">
        <v>48.36</v>
      </c>
      <c r="D179" s="18">
        <v>5.2</v>
      </c>
      <c r="E179">
        <v>19.399999999999999</v>
      </c>
      <c r="F179">
        <v>15.520000000000001</v>
      </c>
      <c r="G179" s="6">
        <v>147</v>
      </c>
      <c r="H179" s="8">
        <f t="shared" si="18"/>
        <v>48.36</v>
      </c>
      <c r="I179">
        <f t="shared" si="19"/>
        <v>5.2</v>
      </c>
      <c r="J179">
        <f t="shared" si="20"/>
        <v>19.399999999999999</v>
      </c>
      <c r="K179">
        <f t="shared" si="21"/>
        <v>15.520000000000001</v>
      </c>
      <c r="L179">
        <f t="shared" si="22"/>
        <v>147</v>
      </c>
    </row>
    <row r="180" spans="1:12" ht="15.75" customHeight="1" x14ac:dyDescent="0.25">
      <c r="A180" s="4">
        <v>169</v>
      </c>
      <c r="B180" s="5">
        <f t="shared" si="24"/>
        <v>45164</v>
      </c>
      <c r="C180" s="6">
        <v>45.08</v>
      </c>
      <c r="D180" s="18">
        <v>23.6</v>
      </c>
      <c r="E180">
        <v>57.6</v>
      </c>
      <c r="F180">
        <v>10.3</v>
      </c>
      <c r="G180" s="6">
        <v>221</v>
      </c>
      <c r="H180" s="8">
        <f t="shared" si="18"/>
        <v>45.08</v>
      </c>
      <c r="I180">
        <f t="shared" si="19"/>
        <v>23.6</v>
      </c>
      <c r="J180">
        <f t="shared" si="20"/>
        <v>57.6</v>
      </c>
      <c r="K180">
        <f t="shared" si="21"/>
        <v>10.3</v>
      </c>
      <c r="L180">
        <f t="shared" si="22"/>
        <v>221</v>
      </c>
    </row>
    <row r="181" spans="1:12" ht="15.75" customHeight="1" x14ac:dyDescent="0.25">
      <c r="A181" s="4">
        <v>170</v>
      </c>
      <c r="B181" s="5">
        <f t="shared" si="24"/>
        <v>45165</v>
      </c>
      <c r="C181" s="6">
        <v>60.86</v>
      </c>
      <c r="D181" s="18">
        <v>10.6</v>
      </c>
      <c r="E181">
        <v>6.4</v>
      </c>
      <c r="F181">
        <v>31.169999999999995</v>
      </c>
      <c r="G181" s="6">
        <v>236</v>
      </c>
      <c r="H181" s="8">
        <f t="shared" si="18"/>
        <v>60.86</v>
      </c>
      <c r="I181">
        <f t="shared" si="19"/>
        <v>10.6</v>
      </c>
      <c r="J181">
        <f t="shared" si="20"/>
        <v>6.4</v>
      </c>
      <c r="K181">
        <f t="shared" si="21"/>
        <v>31.169999999999995</v>
      </c>
      <c r="L181">
        <f t="shared" si="22"/>
        <v>236</v>
      </c>
    </row>
    <row r="182" spans="1:12" ht="15.75" customHeight="1" x14ac:dyDescent="0.25">
      <c r="A182" s="4">
        <v>171</v>
      </c>
      <c r="B182" s="5">
        <f t="shared" si="24"/>
        <v>45166</v>
      </c>
      <c r="C182" s="6">
        <v>12</v>
      </c>
      <c r="D182" s="18">
        <v>11.6</v>
      </c>
      <c r="E182">
        <v>18.399999999999999</v>
      </c>
      <c r="F182">
        <v>3.4400000000000013</v>
      </c>
      <c r="G182" s="6">
        <v>225</v>
      </c>
      <c r="H182" s="8">
        <f t="shared" si="18"/>
        <v>12</v>
      </c>
      <c r="I182">
        <f t="shared" si="19"/>
        <v>11.6</v>
      </c>
      <c r="J182">
        <f t="shared" si="20"/>
        <v>18.399999999999999</v>
      </c>
      <c r="K182">
        <f t="shared" si="21"/>
        <v>3.4400000000000013</v>
      </c>
      <c r="L182">
        <f t="shared" si="22"/>
        <v>225</v>
      </c>
    </row>
    <row r="183" spans="1:12" ht="15.75" customHeight="1" x14ac:dyDescent="0.25">
      <c r="A183" s="4">
        <v>172</v>
      </c>
      <c r="B183" s="5">
        <f t="shared" si="24"/>
        <v>45167</v>
      </c>
      <c r="C183" s="6">
        <v>42.9</v>
      </c>
      <c r="D183" s="18">
        <v>20.9</v>
      </c>
      <c r="E183">
        <v>47.4</v>
      </c>
      <c r="F183">
        <v>7.9399999999999977</v>
      </c>
      <c r="G183" s="6">
        <v>256</v>
      </c>
      <c r="H183" s="8">
        <f t="shared" si="18"/>
        <v>42.9</v>
      </c>
      <c r="I183">
        <f t="shared" si="19"/>
        <v>20.9</v>
      </c>
      <c r="J183">
        <f t="shared" si="20"/>
        <v>47.4</v>
      </c>
      <c r="K183">
        <f t="shared" si="21"/>
        <v>7.9399999999999977</v>
      </c>
      <c r="L183">
        <f t="shared" si="22"/>
        <v>256</v>
      </c>
    </row>
    <row r="184" spans="1:12" ht="15.75" customHeight="1" x14ac:dyDescent="0.25">
      <c r="A184" s="4">
        <v>173</v>
      </c>
      <c r="B184" s="5">
        <f t="shared" si="24"/>
        <v>45168</v>
      </c>
      <c r="C184" s="6">
        <v>9.92</v>
      </c>
      <c r="D184" s="18">
        <v>20.100000000000001</v>
      </c>
      <c r="E184">
        <v>17</v>
      </c>
      <c r="F184">
        <v>5.2100000000000009</v>
      </c>
      <c r="G184" s="6">
        <v>131</v>
      </c>
      <c r="H184" s="8">
        <f t="shared" si="18"/>
        <v>9.92</v>
      </c>
      <c r="I184">
        <f t="shared" si="19"/>
        <v>20.100000000000001</v>
      </c>
      <c r="J184">
        <f t="shared" si="20"/>
        <v>17</v>
      </c>
      <c r="K184">
        <f t="shared" si="21"/>
        <v>5.2100000000000009</v>
      </c>
      <c r="L184">
        <f t="shared" si="22"/>
        <v>131</v>
      </c>
    </row>
    <row r="185" spans="1:12" ht="15.75" customHeight="1" x14ac:dyDescent="0.25">
      <c r="A185" s="4">
        <v>174</v>
      </c>
      <c r="B185" s="5">
        <f t="shared" si="24"/>
        <v>45169</v>
      </c>
      <c r="C185" s="6">
        <v>36.68</v>
      </c>
      <c r="D185" s="18">
        <v>7.1</v>
      </c>
      <c r="E185">
        <v>12.8</v>
      </c>
      <c r="F185">
        <v>15.27</v>
      </c>
      <c r="G185" s="6">
        <v>235.5</v>
      </c>
      <c r="H185" s="8">
        <f t="shared" si="18"/>
        <v>36.68</v>
      </c>
      <c r="I185">
        <f t="shared" si="19"/>
        <v>7.1</v>
      </c>
      <c r="J185">
        <f t="shared" si="20"/>
        <v>12.8</v>
      </c>
      <c r="K185">
        <f t="shared" si="21"/>
        <v>15.27</v>
      </c>
      <c r="L185">
        <f t="shared" si="22"/>
        <v>235.5</v>
      </c>
    </row>
    <row r="186" spans="1:12" ht="15.75" customHeight="1" x14ac:dyDescent="0.25">
      <c r="A186" s="4">
        <v>175</v>
      </c>
      <c r="B186" s="5">
        <f t="shared" si="24"/>
        <v>45170</v>
      </c>
      <c r="C186" s="6">
        <v>53.480000000000004</v>
      </c>
      <c r="D186" s="18">
        <v>3.4</v>
      </c>
      <c r="E186">
        <v>13.1</v>
      </c>
      <c r="F186">
        <v>18.700000000000003</v>
      </c>
      <c r="G186" s="6">
        <v>216</v>
      </c>
      <c r="H186" s="8">
        <f t="shared" si="18"/>
        <v>53.480000000000004</v>
      </c>
      <c r="I186">
        <f t="shared" si="19"/>
        <v>3.4</v>
      </c>
      <c r="J186">
        <f t="shared" si="20"/>
        <v>13.1</v>
      </c>
      <c r="K186">
        <f t="shared" si="21"/>
        <v>18.700000000000003</v>
      </c>
      <c r="L186">
        <f t="shared" si="22"/>
        <v>216</v>
      </c>
    </row>
    <row r="187" spans="1:12" ht="15.75" customHeight="1" x14ac:dyDescent="0.25">
      <c r="A187" s="4">
        <v>176</v>
      </c>
      <c r="B187" s="5">
        <f t="shared" si="24"/>
        <v>45171</v>
      </c>
      <c r="C187" s="6">
        <v>64.38</v>
      </c>
      <c r="D187" s="18">
        <v>48.9</v>
      </c>
      <c r="E187">
        <v>41.8</v>
      </c>
      <c r="F187">
        <v>35.42</v>
      </c>
      <c r="G187" s="6">
        <v>210</v>
      </c>
      <c r="H187" s="8">
        <f t="shared" si="18"/>
        <v>64.38</v>
      </c>
      <c r="I187">
        <f t="shared" si="19"/>
        <v>48.9</v>
      </c>
      <c r="J187">
        <f t="shared" si="20"/>
        <v>41.8</v>
      </c>
      <c r="K187">
        <f t="shared" si="21"/>
        <v>35.42</v>
      </c>
      <c r="L187">
        <f t="shared" si="22"/>
        <v>210</v>
      </c>
    </row>
    <row r="188" spans="1:12" ht="15.75" customHeight="1" x14ac:dyDescent="0.25">
      <c r="A188" s="4">
        <v>177</v>
      </c>
      <c r="B188" s="5">
        <f t="shared" si="24"/>
        <v>45172</v>
      </c>
      <c r="C188" s="6">
        <v>58.68</v>
      </c>
      <c r="D188" s="18">
        <v>30.2</v>
      </c>
      <c r="E188">
        <v>20.3</v>
      </c>
      <c r="F188">
        <v>31.819999999999997</v>
      </c>
      <c r="G188" s="6">
        <v>188</v>
      </c>
      <c r="H188" s="8">
        <f t="shared" si="18"/>
        <v>58.68</v>
      </c>
      <c r="I188">
        <f t="shared" si="19"/>
        <v>30.2</v>
      </c>
      <c r="J188">
        <f t="shared" si="20"/>
        <v>20.3</v>
      </c>
      <c r="K188">
        <f t="shared" si="21"/>
        <v>31.819999999999997</v>
      </c>
      <c r="L188">
        <f t="shared" si="22"/>
        <v>188</v>
      </c>
    </row>
    <row r="189" spans="1:12" ht="15.75" customHeight="1" x14ac:dyDescent="0.25">
      <c r="A189" s="4">
        <v>178</v>
      </c>
      <c r="B189" s="5">
        <f t="shared" si="24"/>
        <v>45173</v>
      </c>
      <c r="C189" s="6">
        <v>40.04</v>
      </c>
      <c r="D189" s="18">
        <v>7.8</v>
      </c>
      <c r="E189">
        <v>35.200000000000003</v>
      </c>
      <c r="F189" s="24">
        <v>95</v>
      </c>
      <c r="G189" s="6">
        <v>167</v>
      </c>
      <c r="H189" s="8">
        <f t="shared" si="18"/>
        <v>40.04</v>
      </c>
      <c r="I189">
        <f t="shared" si="19"/>
        <v>7.8</v>
      </c>
      <c r="J189">
        <f t="shared" si="20"/>
        <v>35.200000000000003</v>
      </c>
      <c r="K189">
        <f t="shared" si="21"/>
        <v>41.756249999999994</v>
      </c>
      <c r="L189">
        <f t="shared" si="22"/>
        <v>167</v>
      </c>
    </row>
    <row r="190" spans="1:12" ht="15.75" customHeight="1" x14ac:dyDescent="0.25">
      <c r="A190" s="4">
        <v>179</v>
      </c>
      <c r="B190" s="5">
        <f t="shared" si="24"/>
        <v>45174</v>
      </c>
      <c r="C190" s="6">
        <v>63.339999999999996</v>
      </c>
      <c r="D190" s="18">
        <v>2.2999999999999998</v>
      </c>
      <c r="E190">
        <v>23.7</v>
      </c>
      <c r="F190">
        <v>19.339999999999996</v>
      </c>
      <c r="G190" s="6">
        <v>139</v>
      </c>
      <c r="H190" s="8">
        <f t="shared" si="18"/>
        <v>63.339999999999996</v>
      </c>
      <c r="I190">
        <f t="shared" si="19"/>
        <v>2.2999999999999998</v>
      </c>
      <c r="J190">
        <f t="shared" si="20"/>
        <v>23.7</v>
      </c>
      <c r="K190">
        <f t="shared" si="21"/>
        <v>19.339999999999996</v>
      </c>
      <c r="L190">
        <f t="shared" si="22"/>
        <v>139</v>
      </c>
    </row>
    <row r="191" spans="1:12" ht="15.75" customHeight="1" x14ac:dyDescent="0.25">
      <c r="A191" s="4">
        <v>180</v>
      </c>
      <c r="B191" s="5">
        <f t="shared" si="24"/>
        <v>45175</v>
      </c>
      <c r="C191" s="6">
        <v>41.12</v>
      </c>
      <c r="D191" s="18">
        <v>10</v>
      </c>
      <c r="E191">
        <v>17.600000000000001</v>
      </c>
      <c r="F191">
        <v>14.519999999999998</v>
      </c>
      <c r="G191" s="6">
        <v>231</v>
      </c>
      <c r="H191" s="8">
        <f t="shared" si="18"/>
        <v>41.12</v>
      </c>
      <c r="I191">
        <f t="shared" si="19"/>
        <v>10</v>
      </c>
      <c r="J191">
        <f t="shared" si="20"/>
        <v>17.600000000000001</v>
      </c>
      <c r="K191">
        <f t="shared" si="21"/>
        <v>14.519999999999998</v>
      </c>
      <c r="L191">
        <f t="shared" si="22"/>
        <v>231</v>
      </c>
    </row>
    <row r="192" spans="1:12" ht="15.75" customHeight="1" x14ac:dyDescent="0.25">
      <c r="A192" s="4">
        <v>181</v>
      </c>
      <c r="B192" s="5">
        <f t="shared" si="24"/>
        <v>45176</v>
      </c>
      <c r="C192" s="6">
        <v>36.32</v>
      </c>
      <c r="D192" s="18">
        <v>2.6</v>
      </c>
      <c r="E192">
        <v>8.3000000000000007</v>
      </c>
      <c r="F192">
        <v>13.64</v>
      </c>
      <c r="G192" s="6">
        <v>162</v>
      </c>
      <c r="H192" s="8">
        <f t="shared" si="18"/>
        <v>36.32</v>
      </c>
      <c r="I192">
        <f t="shared" si="19"/>
        <v>2.6</v>
      </c>
      <c r="J192">
        <f t="shared" si="20"/>
        <v>8.3000000000000007</v>
      </c>
      <c r="K192">
        <f t="shared" si="21"/>
        <v>13.64</v>
      </c>
      <c r="L192">
        <f t="shared" si="22"/>
        <v>162</v>
      </c>
    </row>
    <row r="193" spans="1:12" ht="15.75" customHeight="1" x14ac:dyDescent="0.25">
      <c r="A193" s="4">
        <v>182</v>
      </c>
      <c r="B193" s="5">
        <f t="shared" si="24"/>
        <v>45177</v>
      </c>
      <c r="C193" s="6">
        <v>52.7</v>
      </c>
      <c r="D193" s="18">
        <v>5.4</v>
      </c>
      <c r="E193">
        <v>27.4</v>
      </c>
      <c r="F193">
        <v>13.59</v>
      </c>
      <c r="G193" s="6">
        <v>184</v>
      </c>
      <c r="H193" s="8">
        <f t="shared" si="18"/>
        <v>52.7</v>
      </c>
      <c r="I193">
        <f t="shared" si="19"/>
        <v>5.4</v>
      </c>
      <c r="J193">
        <f t="shared" si="20"/>
        <v>27.4</v>
      </c>
      <c r="K193">
        <f t="shared" si="21"/>
        <v>13.59</v>
      </c>
      <c r="L193">
        <f t="shared" si="22"/>
        <v>184</v>
      </c>
    </row>
    <row r="194" spans="1:12" ht="15.75" customHeight="1" x14ac:dyDescent="0.25">
      <c r="A194" s="4">
        <v>183</v>
      </c>
      <c r="B194" s="5">
        <f t="shared" si="24"/>
        <v>45178</v>
      </c>
      <c r="C194" s="6">
        <v>18.240000000000002</v>
      </c>
      <c r="D194" s="18">
        <v>5.7</v>
      </c>
      <c r="E194">
        <v>29.7</v>
      </c>
      <c r="F194">
        <v>16.59</v>
      </c>
      <c r="G194" s="6">
        <v>240</v>
      </c>
      <c r="H194" s="8">
        <f t="shared" si="18"/>
        <v>18.240000000000002</v>
      </c>
      <c r="I194">
        <f t="shared" si="19"/>
        <v>5.7</v>
      </c>
      <c r="J194">
        <f t="shared" si="20"/>
        <v>29.7</v>
      </c>
      <c r="K194">
        <f t="shared" si="21"/>
        <v>16.59</v>
      </c>
      <c r="L194">
        <f t="shared" si="22"/>
        <v>240</v>
      </c>
    </row>
    <row r="195" spans="1:12" ht="15.75" customHeight="1" x14ac:dyDescent="0.25">
      <c r="A195" s="4">
        <v>184</v>
      </c>
      <c r="B195" s="5">
        <f t="shared" si="24"/>
        <v>45179</v>
      </c>
      <c r="C195" s="6">
        <v>65.52000000000001</v>
      </c>
      <c r="D195" s="18">
        <v>43</v>
      </c>
      <c r="E195">
        <v>71.8</v>
      </c>
      <c r="F195">
        <v>21.540000000000006</v>
      </c>
      <c r="G195" s="6">
        <v>129</v>
      </c>
      <c r="H195" s="8">
        <f t="shared" si="18"/>
        <v>65.52000000000001</v>
      </c>
      <c r="I195">
        <f t="shared" si="19"/>
        <v>43</v>
      </c>
      <c r="J195">
        <f t="shared" si="20"/>
        <v>71.8</v>
      </c>
      <c r="K195">
        <f t="shared" si="21"/>
        <v>21.540000000000006</v>
      </c>
      <c r="L195">
        <f t="shared" si="22"/>
        <v>129</v>
      </c>
    </row>
    <row r="196" spans="1:12" ht="15.75" customHeight="1" x14ac:dyDescent="0.25">
      <c r="A196" s="4">
        <v>185</v>
      </c>
      <c r="B196" s="5">
        <f t="shared" si="24"/>
        <v>45180</v>
      </c>
      <c r="C196" s="6">
        <v>58.760000000000005</v>
      </c>
      <c r="D196" s="18">
        <v>21.3</v>
      </c>
      <c r="E196">
        <v>30</v>
      </c>
      <c r="F196">
        <v>24.03</v>
      </c>
      <c r="G196" s="6">
        <v>258</v>
      </c>
      <c r="H196" s="8">
        <f t="shared" si="18"/>
        <v>58.760000000000005</v>
      </c>
      <c r="I196">
        <f t="shared" si="19"/>
        <v>21.3</v>
      </c>
      <c r="J196">
        <f t="shared" si="20"/>
        <v>30</v>
      </c>
      <c r="K196">
        <f t="shared" si="21"/>
        <v>24.03</v>
      </c>
      <c r="L196">
        <f t="shared" si="22"/>
        <v>258</v>
      </c>
    </row>
    <row r="197" spans="1:12" ht="15.75" customHeight="1" x14ac:dyDescent="0.25">
      <c r="A197" s="4">
        <v>186</v>
      </c>
      <c r="B197" s="5">
        <f t="shared" si="24"/>
        <v>45181</v>
      </c>
      <c r="C197" s="6">
        <v>46</v>
      </c>
      <c r="D197" s="18">
        <v>45.1</v>
      </c>
      <c r="E197">
        <v>19.600000000000001</v>
      </c>
      <c r="F197">
        <v>35.209999999999994</v>
      </c>
      <c r="G197" s="6">
        <v>220</v>
      </c>
      <c r="H197" s="8">
        <f t="shared" si="18"/>
        <v>46</v>
      </c>
      <c r="I197">
        <f t="shared" si="19"/>
        <v>45.1</v>
      </c>
      <c r="J197">
        <f t="shared" si="20"/>
        <v>19.600000000000001</v>
      </c>
      <c r="K197">
        <f t="shared" si="21"/>
        <v>35.209999999999994</v>
      </c>
      <c r="L197">
        <f t="shared" si="22"/>
        <v>220</v>
      </c>
    </row>
    <row r="198" spans="1:12" ht="15.75" customHeight="1" x14ac:dyDescent="0.25">
      <c r="A198" s="4">
        <v>187</v>
      </c>
      <c r="B198" s="5">
        <f t="shared" si="24"/>
        <v>45182</v>
      </c>
      <c r="C198" s="6">
        <v>35.9</v>
      </c>
      <c r="D198" s="18">
        <v>2.1</v>
      </c>
      <c r="E198">
        <v>26.6</v>
      </c>
      <c r="F198">
        <v>4.3599999999999994</v>
      </c>
      <c r="G198" s="6">
        <v>254</v>
      </c>
      <c r="H198" s="8">
        <f t="shared" si="18"/>
        <v>35.9</v>
      </c>
      <c r="I198">
        <f t="shared" si="19"/>
        <v>2.1</v>
      </c>
      <c r="J198">
        <f t="shared" si="20"/>
        <v>26.6</v>
      </c>
      <c r="K198">
        <f t="shared" si="21"/>
        <v>4.3599999999999994</v>
      </c>
      <c r="L198">
        <f t="shared" si="22"/>
        <v>254</v>
      </c>
    </row>
    <row r="199" spans="1:12" ht="15.75" customHeight="1" x14ac:dyDescent="0.25">
      <c r="A199" s="4">
        <v>188</v>
      </c>
      <c r="B199" s="5">
        <f t="shared" si="24"/>
        <v>45183</v>
      </c>
      <c r="C199" s="6">
        <v>41.22</v>
      </c>
      <c r="D199" s="18">
        <v>28.7</v>
      </c>
      <c r="E199">
        <v>18.2</v>
      </c>
      <c r="F199">
        <v>26.18</v>
      </c>
      <c r="G199" s="6">
        <v>131</v>
      </c>
      <c r="H199" s="8">
        <f t="shared" si="18"/>
        <v>41.22</v>
      </c>
      <c r="I199">
        <f t="shared" si="19"/>
        <v>28.7</v>
      </c>
      <c r="J199">
        <f t="shared" si="20"/>
        <v>18.2</v>
      </c>
      <c r="K199">
        <f t="shared" si="21"/>
        <v>26.18</v>
      </c>
      <c r="L199">
        <f t="shared" si="22"/>
        <v>131</v>
      </c>
    </row>
    <row r="200" spans="1:12" ht="15.75" customHeight="1" x14ac:dyDescent="0.25">
      <c r="A200" s="4">
        <v>189</v>
      </c>
      <c r="B200" s="5">
        <f t="shared" si="24"/>
        <v>45184</v>
      </c>
      <c r="C200" s="6">
        <v>59.2</v>
      </c>
      <c r="D200" s="18">
        <v>13.9</v>
      </c>
      <c r="E200">
        <v>3.7</v>
      </c>
      <c r="F200">
        <v>34.070000000000007</v>
      </c>
      <c r="G200" s="6">
        <v>158</v>
      </c>
      <c r="H200" s="8">
        <f t="shared" si="18"/>
        <v>59.2</v>
      </c>
      <c r="I200">
        <f t="shared" si="19"/>
        <v>13.9</v>
      </c>
      <c r="J200">
        <f t="shared" si="20"/>
        <v>3.7</v>
      </c>
      <c r="K200">
        <f t="shared" si="21"/>
        <v>34.070000000000007</v>
      </c>
      <c r="L200">
        <f t="shared" si="22"/>
        <v>158</v>
      </c>
    </row>
    <row r="201" spans="1:12" ht="15.75" customHeight="1" x14ac:dyDescent="0.25">
      <c r="A201" s="4">
        <v>190</v>
      </c>
      <c r="B201" s="5">
        <f t="shared" si="24"/>
        <v>45185</v>
      </c>
      <c r="C201" s="6">
        <v>6.74</v>
      </c>
      <c r="D201" s="18">
        <v>12.1</v>
      </c>
      <c r="E201">
        <v>23.4</v>
      </c>
      <c r="F201">
        <v>18.560000000000002</v>
      </c>
      <c r="G201" s="6">
        <v>271</v>
      </c>
      <c r="H201" s="8">
        <f t="shared" si="18"/>
        <v>6.74</v>
      </c>
      <c r="I201">
        <f t="shared" si="19"/>
        <v>12.1</v>
      </c>
      <c r="J201">
        <f t="shared" si="20"/>
        <v>23.4</v>
      </c>
      <c r="K201">
        <f t="shared" si="21"/>
        <v>18.560000000000002</v>
      </c>
      <c r="L201">
        <f t="shared" si="22"/>
        <v>271</v>
      </c>
    </row>
    <row r="202" spans="1:12" ht="15.75" customHeight="1" x14ac:dyDescent="0.25">
      <c r="A202" s="4">
        <v>191</v>
      </c>
      <c r="B202" s="5">
        <f t="shared" si="24"/>
        <v>45186</v>
      </c>
      <c r="C202" s="6">
        <v>15.9</v>
      </c>
      <c r="D202" s="18">
        <v>41.1</v>
      </c>
      <c r="E202">
        <v>5.8</v>
      </c>
      <c r="F202">
        <v>22.18</v>
      </c>
      <c r="G202" s="6">
        <v>257</v>
      </c>
      <c r="H202" s="8">
        <f t="shared" si="18"/>
        <v>15.9</v>
      </c>
      <c r="I202">
        <f t="shared" si="19"/>
        <v>41.1</v>
      </c>
      <c r="J202">
        <f t="shared" si="20"/>
        <v>5.8</v>
      </c>
      <c r="K202">
        <f t="shared" si="21"/>
        <v>22.18</v>
      </c>
      <c r="L202">
        <f t="shared" si="22"/>
        <v>257</v>
      </c>
    </row>
    <row r="203" spans="1:12" ht="15.75" customHeight="1" x14ac:dyDescent="0.25">
      <c r="A203" s="4">
        <v>192</v>
      </c>
      <c r="B203" s="5">
        <f t="shared" si="24"/>
        <v>45187</v>
      </c>
      <c r="C203" s="6">
        <v>21.1</v>
      </c>
      <c r="D203" s="18">
        <v>10.8</v>
      </c>
      <c r="E203">
        <v>6</v>
      </c>
      <c r="F203">
        <v>10.549999999999999</v>
      </c>
      <c r="G203" s="6">
        <v>272</v>
      </c>
      <c r="H203" s="8">
        <f t="shared" si="18"/>
        <v>21.1</v>
      </c>
      <c r="I203">
        <f t="shared" si="19"/>
        <v>10.8</v>
      </c>
      <c r="J203">
        <f t="shared" si="20"/>
        <v>6</v>
      </c>
      <c r="K203">
        <f t="shared" si="21"/>
        <v>10.549999999999999</v>
      </c>
      <c r="L203">
        <f t="shared" si="22"/>
        <v>272</v>
      </c>
    </row>
    <row r="204" spans="1:12" ht="15.75" customHeight="1" x14ac:dyDescent="0.25">
      <c r="A204" s="4">
        <v>193</v>
      </c>
      <c r="B204" s="5">
        <f t="shared" si="24"/>
        <v>45188</v>
      </c>
      <c r="C204" s="6">
        <v>12.44</v>
      </c>
      <c r="D204" s="18">
        <v>4.0999999999999996</v>
      </c>
      <c r="E204">
        <v>31.6</v>
      </c>
      <c r="F204">
        <v>11.129999999999999</v>
      </c>
      <c r="G204" s="6">
        <v>166</v>
      </c>
      <c r="H204" s="8">
        <f t="shared" si="18"/>
        <v>12.44</v>
      </c>
      <c r="I204">
        <f t="shared" si="19"/>
        <v>4.0999999999999996</v>
      </c>
      <c r="J204">
        <f t="shared" si="20"/>
        <v>31.6</v>
      </c>
      <c r="K204">
        <f t="shared" si="21"/>
        <v>11.129999999999999</v>
      </c>
      <c r="L204">
        <f t="shared" si="22"/>
        <v>166</v>
      </c>
    </row>
    <row r="205" spans="1:12" ht="15.75" customHeight="1" x14ac:dyDescent="0.25">
      <c r="A205" s="4">
        <v>194</v>
      </c>
      <c r="B205" s="5">
        <f t="shared" si="24"/>
        <v>45189</v>
      </c>
      <c r="C205" s="6">
        <v>41.36</v>
      </c>
      <c r="D205" s="18">
        <v>42</v>
      </c>
      <c r="E205">
        <v>3.6</v>
      </c>
      <c r="F205">
        <v>36.24</v>
      </c>
      <c r="G205" s="6">
        <v>226</v>
      </c>
      <c r="H205" s="8">
        <f t="shared" ref="H205:H211" si="25">IF(C205&gt;$C$2,C195,C205)</f>
        <v>41.36</v>
      </c>
      <c r="I205">
        <f t="shared" ref="I205:I211" si="26">IF(D205&gt;$D$2,$D$2,D205)</f>
        <v>42</v>
      </c>
      <c r="J205">
        <f t="shared" ref="J205:J211" si="27">IF(E205&gt;$E$2,$E$2,E205)</f>
        <v>3.6</v>
      </c>
      <c r="K205">
        <f t="shared" ref="K205:K211" si="28">IF(F205&gt;$F$2,$F$2,F205)</f>
        <v>36.24</v>
      </c>
      <c r="L205">
        <f t="shared" ref="L205:L211" si="29">IF(G205&gt;$G$2,$G$2,G205)</f>
        <v>226</v>
      </c>
    </row>
    <row r="206" spans="1:12" ht="15.75" customHeight="1" x14ac:dyDescent="0.25">
      <c r="A206" s="4">
        <v>195</v>
      </c>
      <c r="B206" s="5">
        <f t="shared" si="24"/>
        <v>45190</v>
      </c>
      <c r="C206" s="6">
        <v>32.94</v>
      </c>
      <c r="D206" s="18">
        <v>35.6</v>
      </c>
      <c r="E206">
        <v>6</v>
      </c>
      <c r="F206">
        <v>17.100000000000001</v>
      </c>
      <c r="G206" s="6">
        <v>92</v>
      </c>
      <c r="H206" s="8">
        <f t="shared" si="25"/>
        <v>32.94</v>
      </c>
      <c r="I206">
        <f t="shared" si="26"/>
        <v>35.6</v>
      </c>
      <c r="J206">
        <f t="shared" si="27"/>
        <v>6</v>
      </c>
      <c r="K206">
        <f t="shared" si="28"/>
        <v>17.100000000000001</v>
      </c>
      <c r="L206">
        <f t="shared" si="29"/>
        <v>92</v>
      </c>
    </row>
    <row r="207" spans="1:12" ht="15.75" customHeight="1" x14ac:dyDescent="0.25">
      <c r="A207" s="4">
        <v>196</v>
      </c>
      <c r="B207" s="5">
        <f t="shared" si="24"/>
        <v>45191</v>
      </c>
      <c r="C207" s="6">
        <v>14.64</v>
      </c>
      <c r="D207" s="18">
        <v>3.7</v>
      </c>
      <c r="E207">
        <v>13.8</v>
      </c>
      <c r="F207">
        <v>0.14999999999999947</v>
      </c>
      <c r="G207" s="6">
        <v>135</v>
      </c>
      <c r="H207" s="8">
        <f t="shared" si="25"/>
        <v>14.64</v>
      </c>
      <c r="I207">
        <f t="shared" si="26"/>
        <v>3.7</v>
      </c>
      <c r="J207">
        <f t="shared" si="27"/>
        <v>13.8</v>
      </c>
      <c r="K207">
        <f t="shared" si="28"/>
        <v>0.14999999999999947</v>
      </c>
      <c r="L207">
        <f t="shared" si="29"/>
        <v>135</v>
      </c>
    </row>
    <row r="208" spans="1:12" ht="15.75" customHeight="1" x14ac:dyDescent="0.25">
      <c r="A208" s="4">
        <v>197</v>
      </c>
      <c r="B208" s="5">
        <f t="shared" si="24"/>
        <v>45192</v>
      </c>
      <c r="C208" s="6">
        <v>27.84</v>
      </c>
      <c r="D208" s="18">
        <v>4.9000000000000004</v>
      </c>
      <c r="E208">
        <v>8.1</v>
      </c>
      <c r="F208">
        <v>8.6300000000000008</v>
      </c>
      <c r="G208" s="6">
        <v>126</v>
      </c>
      <c r="H208" s="8">
        <f t="shared" si="25"/>
        <v>27.84</v>
      </c>
      <c r="I208">
        <f t="shared" si="26"/>
        <v>4.9000000000000004</v>
      </c>
      <c r="J208">
        <f t="shared" si="27"/>
        <v>8.1</v>
      </c>
      <c r="K208">
        <f t="shared" si="28"/>
        <v>8.6300000000000008</v>
      </c>
      <c r="L208">
        <f t="shared" si="29"/>
        <v>126</v>
      </c>
    </row>
    <row r="209" spans="1:12" ht="15.75" customHeight="1" x14ac:dyDescent="0.25">
      <c r="A209" s="4">
        <v>198</v>
      </c>
      <c r="B209" s="5">
        <f t="shared" si="24"/>
        <v>45193</v>
      </c>
      <c r="C209" s="6">
        <v>44.4</v>
      </c>
      <c r="D209" s="18">
        <v>9.3000000000000007</v>
      </c>
      <c r="E209">
        <v>6.4</v>
      </c>
      <c r="F209">
        <v>19.79</v>
      </c>
      <c r="G209" s="6">
        <v>128</v>
      </c>
      <c r="H209" s="8">
        <f t="shared" si="25"/>
        <v>44.4</v>
      </c>
      <c r="I209">
        <f t="shared" si="26"/>
        <v>9.3000000000000007</v>
      </c>
      <c r="J209">
        <f t="shared" si="27"/>
        <v>6.4</v>
      </c>
      <c r="K209">
        <f t="shared" si="28"/>
        <v>19.79</v>
      </c>
      <c r="L209">
        <f t="shared" si="29"/>
        <v>128</v>
      </c>
    </row>
    <row r="210" spans="1:12" ht="15.75" customHeight="1" x14ac:dyDescent="0.25">
      <c r="A210" s="4">
        <v>199</v>
      </c>
      <c r="B210" s="5">
        <f t="shared" si="24"/>
        <v>45194</v>
      </c>
      <c r="C210" s="6">
        <v>57.720000000000006</v>
      </c>
      <c r="D210" s="18">
        <v>42</v>
      </c>
      <c r="E210">
        <v>66.2</v>
      </c>
      <c r="F210">
        <v>22.879999999999995</v>
      </c>
      <c r="G210" s="6">
        <v>118</v>
      </c>
      <c r="H210" s="8">
        <f t="shared" si="25"/>
        <v>57.720000000000006</v>
      </c>
      <c r="I210">
        <f t="shared" si="26"/>
        <v>42</v>
      </c>
      <c r="J210">
        <f t="shared" si="27"/>
        <v>66.2</v>
      </c>
      <c r="K210">
        <f t="shared" si="28"/>
        <v>22.879999999999995</v>
      </c>
      <c r="L210">
        <f t="shared" si="29"/>
        <v>118</v>
      </c>
    </row>
    <row r="211" spans="1:12" ht="15.75" customHeight="1" x14ac:dyDescent="0.25">
      <c r="A211" s="4">
        <v>200</v>
      </c>
      <c r="B211" s="5">
        <v>45195</v>
      </c>
      <c r="C211" s="6">
        <v>52.42</v>
      </c>
      <c r="D211" s="18">
        <v>8.6</v>
      </c>
      <c r="E211">
        <v>8.6999999999999993</v>
      </c>
      <c r="F211">
        <v>1</v>
      </c>
      <c r="G211" s="6">
        <v>227</v>
      </c>
      <c r="H211" s="8">
        <f t="shared" si="25"/>
        <v>52.42</v>
      </c>
      <c r="I211">
        <f t="shared" si="26"/>
        <v>8.6</v>
      </c>
      <c r="J211">
        <f t="shared" si="27"/>
        <v>8.6999999999999993</v>
      </c>
      <c r="K211">
        <f t="shared" si="28"/>
        <v>1</v>
      </c>
      <c r="L211">
        <f t="shared" si="29"/>
        <v>227</v>
      </c>
    </row>
    <row r="212" spans="1:12" ht="15.75" customHeight="1" x14ac:dyDescent="0.25"/>
    <row r="213" spans="1:12" ht="15.75" customHeight="1" x14ac:dyDescent="0.25"/>
    <row r="214" spans="1:12" ht="15.75" customHeight="1" x14ac:dyDescent="0.25"/>
    <row r="215" spans="1:12" ht="15.75" customHeight="1" x14ac:dyDescent="0.25"/>
    <row r="216" spans="1:12" ht="15.75" customHeight="1" x14ac:dyDescent="0.25"/>
    <row r="217" spans="1:12" ht="15.75" customHeight="1" x14ac:dyDescent="0.25"/>
    <row r="218" spans="1:12" ht="15.75" customHeight="1" x14ac:dyDescent="0.25"/>
    <row r="219" spans="1:12" ht="15.75" customHeight="1" x14ac:dyDescent="0.25"/>
    <row r="220" spans="1:12" ht="15.75" customHeight="1" x14ac:dyDescent="0.25"/>
    <row r="221" spans="1:12" ht="15.75" customHeight="1" x14ac:dyDescent="0.25"/>
    <row r="222" spans="1:12" ht="15.75" customHeight="1" x14ac:dyDescent="0.25"/>
    <row r="223" spans="1:12" ht="15.75" customHeight="1" x14ac:dyDescent="0.25"/>
    <row r="224" spans="1:1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autoFilter ref="A11:G211" xr:uid="{5139AC16-2D3C-45FB-A690-3F035A24A844}">
    <sortState xmlns:xlrd2="http://schemas.microsoft.com/office/spreadsheetml/2017/richdata2" ref="A12:G211">
      <sortCondition ref="B11:B211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02DA-53E7-40ED-B2AF-6C7AA1A31A83}">
  <dimension ref="A1:G1000"/>
  <sheetViews>
    <sheetView zoomScale="200" zoomScaleNormal="200" workbookViewId="0">
      <selection activeCell="H12" sqref="H12"/>
    </sheetView>
  </sheetViews>
  <sheetFormatPr defaultColWidth="11.125" defaultRowHeight="15" customHeight="1" x14ac:dyDescent="0.25"/>
  <cols>
    <col min="1" max="1" width="10.5" customWidth="1"/>
    <col min="2" max="2" width="21.875" customWidth="1"/>
    <col min="3" max="16" width="10.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16" t="s">
        <v>5</v>
      </c>
    </row>
    <row r="2" spans="1:7" ht="15.75" customHeight="1" x14ac:dyDescent="0.25">
      <c r="A2" s="4">
        <v>1</v>
      </c>
      <c r="B2" s="5">
        <f t="shared" ref="B2:B33" si="0">+B3-1</f>
        <v>44997</v>
      </c>
      <c r="C2" s="8">
        <v>56.02</v>
      </c>
      <c r="D2">
        <v>37.799999999999997</v>
      </c>
      <c r="E2">
        <v>69.2</v>
      </c>
      <c r="F2">
        <v>14.229999999999993</v>
      </c>
      <c r="G2">
        <v>71</v>
      </c>
    </row>
    <row r="3" spans="1:7" ht="15.75" customHeight="1" x14ac:dyDescent="0.25">
      <c r="A3" s="4">
        <v>2</v>
      </c>
      <c r="B3" s="5">
        <f t="shared" si="0"/>
        <v>44998</v>
      </c>
      <c r="C3" s="8">
        <v>10.9</v>
      </c>
      <c r="D3">
        <v>39.299999999999997</v>
      </c>
      <c r="E3">
        <v>45.1</v>
      </c>
      <c r="F3">
        <v>6.0599999999999952</v>
      </c>
      <c r="G3">
        <v>71</v>
      </c>
    </row>
    <row r="4" spans="1:7" ht="15.75" customHeight="1" x14ac:dyDescent="0.25">
      <c r="A4" s="4">
        <v>3</v>
      </c>
      <c r="B4" s="5">
        <f t="shared" si="0"/>
        <v>44999</v>
      </c>
      <c r="C4" s="8">
        <v>12.44</v>
      </c>
      <c r="D4">
        <v>45.9</v>
      </c>
      <c r="E4">
        <v>69.3</v>
      </c>
      <c r="F4">
        <v>16.95</v>
      </c>
      <c r="G4">
        <v>28</v>
      </c>
    </row>
    <row r="5" spans="1:7" ht="15.75" customHeight="1" x14ac:dyDescent="0.25">
      <c r="A5" s="4">
        <v>4</v>
      </c>
      <c r="B5" s="5">
        <f t="shared" si="0"/>
        <v>45000</v>
      </c>
      <c r="C5" s="8">
        <v>31.3</v>
      </c>
      <c r="D5">
        <v>41.3</v>
      </c>
      <c r="E5">
        <v>58.5</v>
      </c>
      <c r="F5">
        <v>12.399999999999995</v>
      </c>
      <c r="G5">
        <v>83</v>
      </c>
    </row>
    <row r="6" spans="1:7" ht="15.75" customHeight="1" x14ac:dyDescent="0.25">
      <c r="A6" s="4">
        <v>5</v>
      </c>
      <c r="B6" s="5">
        <f t="shared" si="0"/>
        <v>45001</v>
      </c>
      <c r="C6" s="8">
        <v>46.160000000000004</v>
      </c>
      <c r="D6">
        <v>10.8</v>
      </c>
      <c r="E6">
        <v>58.4</v>
      </c>
      <c r="F6">
        <v>0.12000000000000455</v>
      </c>
      <c r="G6">
        <v>86</v>
      </c>
    </row>
    <row r="7" spans="1:7" ht="15.75" customHeight="1" x14ac:dyDescent="0.25">
      <c r="A7" s="4">
        <v>6</v>
      </c>
      <c r="B7" s="5">
        <f t="shared" si="0"/>
        <v>45002</v>
      </c>
      <c r="C7" s="8">
        <v>6.74</v>
      </c>
      <c r="D7">
        <v>48.9</v>
      </c>
      <c r="E7">
        <v>75</v>
      </c>
      <c r="F7">
        <v>15.32</v>
      </c>
      <c r="G7">
        <v>81</v>
      </c>
    </row>
    <row r="8" spans="1:7" ht="15.75" customHeight="1" x14ac:dyDescent="0.25">
      <c r="A8" s="4">
        <v>7</v>
      </c>
      <c r="B8" s="5">
        <f t="shared" si="0"/>
        <v>45003</v>
      </c>
      <c r="C8" s="8">
        <v>13.5</v>
      </c>
      <c r="D8">
        <v>32.799999999999997</v>
      </c>
      <c r="E8">
        <v>23.5</v>
      </c>
      <c r="F8">
        <v>12.749999999999998</v>
      </c>
      <c r="G8">
        <v>86</v>
      </c>
    </row>
    <row r="9" spans="1:7" ht="15.75" customHeight="1" x14ac:dyDescent="0.25">
      <c r="A9" s="4">
        <v>8</v>
      </c>
      <c r="B9" s="5">
        <f t="shared" si="0"/>
        <v>45004</v>
      </c>
      <c r="C9" s="8">
        <v>31.04</v>
      </c>
      <c r="D9">
        <v>19.600000000000001</v>
      </c>
      <c r="E9">
        <v>11.6</v>
      </c>
      <c r="F9">
        <v>17.18</v>
      </c>
      <c r="G9">
        <v>62</v>
      </c>
    </row>
    <row r="10" spans="1:7" ht="15.75" customHeight="1" x14ac:dyDescent="0.25">
      <c r="A10" s="4">
        <v>9</v>
      </c>
      <c r="B10" s="5">
        <f t="shared" si="0"/>
        <v>45005</v>
      </c>
      <c r="C10" s="8">
        <v>9.7200000000000006</v>
      </c>
      <c r="D10">
        <v>2.1</v>
      </c>
      <c r="E10">
        <v>1</v>
      </c>
      <c r="F10">
        <v>1.5100000000000002</v>
      </c>
      <c r="G10">
        <v>78</v>
      </c>
    </row>
    <row r="11" spans="1:7" ht="15.75" customHeight="1" x14ac:dyDescent="0.25">
      <c r="A11" s="4">
        <v>10</v>
      </c>
      <c r="B11" s="5">
        <f t="shared" si="0"/>
        <v>45006</v>
      </c>
      <c r="C11" s="8">
        <v>40.96</v>
      </c>
      <c r="D11">
        <v>2.6</v>
      </c>
      <c r="E11">
        <v>21.2</v>
      </c>
      <c r="F11">
        <v>12.8</v>
      </c>
      <c r="G11">
        <v>109</v>
      </c>
    </row>
    <row r="12" spans="1:7" ht="15.75" customHeight="1" x14ac:dyDescent="0.25">
      <c r="A12" s="4">
        <v>11</v>
      </c>
      <c r="B12" s="5">
        <f t="shared" si="0"/>
        <v>45007</v>
      </c>
      <c r="C12" s="8">
        <v>23.22</v>
      </c>
      <c r="D12">
        <v>5.8</v>
      </c>
      <c r="E12">
        <v>24.2</v>
      </c>
      <c r="F12">
        <v>19.829999999999998</v>
      </c>
      <c r="G12">
        <v>54</v>
      </c>
    </row>
    <row r="13" spans="1:7" ht="15.75" customHeight="1" x14ac:dyDescent="0.25">
      <c r="A13" s="4">
        <v>12</v>
      </c>
      <c r="B13" s="5">
        <f t="shared" si="0"/>
        <v>45008</v>
      </c>
      <c r="C13" s="8">
        <v>50.94</v>
      </c>
      <c r="D13">
        <v>24</v>
      </c>
      <c r="E13">
        <v>4</v>
      </c>
      <c r="F13">
        <v>31.869999999999997</v>
      </c>
      <c r="G13">
        <v>54</v>
      </c>
    </row>
    <row r="14" spans="1:7" ht="15.75" customHeight="1" x14ac:dyDescent="0.25">
      <c r="A14" s="4">
        <v>13</v>
      </c>
      <c r="B14" s="5">
        <f t="shared" si="0"/>
        <v>45009</v>
      </c>
      <c r="C14" s="8">
        <v>10.76</v>
      </c>
      <c r="D14">
        <v>35.1</v>
      </c>
      <c r="E14">
        <v>65.900000000000006</v>
      </c>
      <c r="F14">
        <v>17.100000000000001</v>
      </c>
      <c r="G14">
        <v>35</v>
      </c>
    </row>
    <row r="15" spans="1:7" ht="15.75" customHeight="1" x14ac:dyDescent="0.25">
      <c r="A15" s="4">
        <v>14</v>
      </c>
      <c r="B15" s="5">
        <f t="shared" si="0"/>
        <v>45010</v>
      </c>
      <c r="C15" s="8">
        <v>26.5</v>
      </c>
      <c r="D15">
        <v>7.6</v>
      </c>
      <c r="E15">
        <v>7.2</v>
      </c>
      <c r="F15">
        <v>17.100000000000001</v>
      </c>
      <c r="G15">
        <v>77</v>
      </c>
    </row>
    <row r="16" spans="1:7" ht="15.75" customHeight="1" x14ac:dyDescent="0.25">
      <c r="A16" s="4">
        <v>15</v>
      </c>
      <c r="B16" s="5">
        <f t="shared" si="0"/>
        <v>45011</v>
      </c>
      <c r="C16" s="8">
        <v>44.82</v>
      </c>
      <c r="D16">
        <v>32.9</v>
      </c>
      <c r="E16">
        <v>46</v>
      </c>
      <c r="F16">
        <v>18.459999999999997</v>
      </c>
      <c r="G16">
        <v>93</v>
      </c>
    </row>
    <row r="17" spans="1:7" ht="15.75" customHeight="1" x14ac:dyDescent="0.25">
      <c r="A17" s="4">
        <v>16</v>
      </c>
      <c r="B17" s="5">
        <f t="shared" si="0"/>
        <v>45012</v>
      </c>
      <c r="C17" s="8">
        <v>42.08</v>
      </c>
      <c r="D17">
        <v>47.7</v>
      </c>
      <c r="E17">
        <v>52.9</v>
      </c>
      <c r="F17">
        <v>22.23</v>
      </c>
      <c r="G17">
        <v>98</v>
      </c>
    </row>
    <row r="18" spans="1:7" ht="15.75" customHeight="1" x14ac:dyDescent="0.25">
      <c r="A18" s="4">
        <v>17</v>
      </c>
      <c r="B18" s="5">
        <f t="shared" si="0"/>
        <v>45013</v>
      </c>
      <c r="C18" s="8">
        <v>89.06</v>
      </c>
      <c r="D18">
        <v>36.6</v>
      </c>
      <c r="E18">
        <v>93.625</v>
      </c>
      <c r="F18">
        <v>23.379999999999995</v>
      </c>
      <c r="G18">
        <v>95</v>
      </c>
    </row>
    <row r="19" spans="1:7" ht="15.75" customHeight="1" x14ac:dyDescent="0.25">
      <c r="A19" s="4">
        <v>18</v>
      </c>
      <c r="B19" s="5">
        <f t="shared" si="0"/>
        <v>45014</v>
      </c>
      <c r="C19" s="8">
        <v>62.279999999999994</v>
      </c>
      <c r="D19">
        <v>39.6</v>
      </c>
      <c r="E19">
        <v>55.8</v>
      </c>
      <c r="F19">
        <v>25.619999999999997</v>
      </c>
      <c r="G19">
        <v>122</v>
      </c>
    </row>
    <row r="20" spans="1:7" ht="15.75" customHeight="1" x14ac:dyDescent="0.25">
      <c r="A20" s="4">
        <v>19</v>
      </c>
      <c r="B20" s="5">
        <f t="shared" si="0"/>
        <v>45015</v>
      </c>
      <c r="C20" s="8">
        <v>14.84</v>
      </c>
      <c r="D20">
        <v>20.5</v>
      </c>
      <c r="E20">
        <v>18.3</v>
      </c>
      <c r="F20">
        <v>9.8500000000000014</v>
      </c>
      <c r="G20">
        <v>90</v>
      </c>
    </row>
    <row r="21" spans="1:7" ht="15.75" customHeight="1" x14ac:dyDescent="0.25">
      <c r="A21" s="4">
        <v>20</v>
      </c>
      <c r="B21" s="5">
        <f t="shared" si="0"/>
        <v>45016</v>
      </c>
      <c r="C21" s="8">
        <v>32.46</v>
      </c>
      <c r="D21">
        <v>23.9</v>
      </c>
      <c r="E21">
        <v>19.100000000000001</v>
      </c>
      <c r="F21">
        <v>19.04</v>
      </c>
      <c r="G21">
        <v>95</v>
      </c>
    </row>
    <row r="22" spans="1:7" ht="15.75" customHeight="1" x14ac:dyDescent="0.25">
      <c r="A22" s="4">
        <v>21</v>
      </c>
      <c r="B22" s="5">
        <f t="shared" si="0"/>
        <v>45017</v>
      </c>
      <c r="C22" s="8">
        <v>46.68</v>
      </c>
      <c r="D22">
        <v>27.7</v>
      </c>
      <c r="E22">
        <v>53.4</v>
      </c>
      <c r="F22">
        <v>14.329999999999998</v>
      </c>
      <c r="G22">
        <v>90</v>
      </c>
    </row>
    <row r="23" spans="1:7" ht="15.75" customHeight="1" x14ac:dyDescent="0.25">
      <c r="A23" s="4">
        <v>22</v>
      </c>
      <c r="B23" s="5">
        <f t="shared" si="0"/>
        <v>45018</v>
      </c>
      <c r="C23" s="8">
        <v>48.480000000000004</v>
      </c>
      <c r="D23">
        <v>76.949999999999989</v>
      </c>
      <c r="E23">
        <v>23.5</v>
      </c>
      <c r="F23">
        <v>16.89</v>
      </c>
      <c r="G23">
        <v>89</v>
      </c>
    </row>
    <row r="24" spans="1:7" ht="15.75" customHeight="1" x14ac:dyDescent="0.25">
      <c r="A24" s="4">
        <v>23</v>
      </c>
      <c r="B24" s="5">
        <f t="shared" si="0"/>
        <v>45019</v>
      </c>
      <c r="C24" s="8">
        <v>11.64</v>
      </c>
      <c r="D24">
        <v>15.9</v>
      </c>
      <c r="E24">
        <v>49.6</v>
      </c>
      <c r="F24">
        <v>9.4299999999999962</v>
      </c>
      <c r="G24">
        <v>85</v>
      </c>
    </row>
    <row r="25" spans="1:7" ht="15.75" customHeight="1" x14ac:dyDescent="0.25">
      <c r="A25" s="4">
        <v>24</v>
      </c>
      <c r="B25" s="5">
        <f t="shared" si="0"/>
        <v>45020</v>
      </c>
      <c r="C25" s="8">
        <v>49.660000000000004</v>
      </c>
      <c r="D25">
        <v>16.899999999999999</v>
      </c>
      <c r="E25">
        <v>26.2</v>
      </c>
      <c r="F25">
        <v>20.8</v>
      </c>
      <c r="G25">
        <v>105</v>
      </c>
    </row>
    <row r="26" spans="1:7" ht="15.75" customHeight="1" x14ac:dyDescent="0.25">
      <c r="A26" s="4">
        <v>25</v>
      </c>
      <c r="B26" s="5">
        <f t="shared" si="0"/>
        <v>45021</v>
      </c>
      <c r="C26" s="8">
        <v>20.46</v>
      </c>
      <c r="D26">
        <v>12.6</v>
      </c>
      <c r="E26">
        <v>18.3</v>
      </c>
      <c r="F26">
        <v>5.2099999999999991</v>
      </c>
      <c r="G26">
        <v>62</v>
      </c>
    </row>
    <row r="27" spans="1:7" ht="15.75" customHeight="1" x14ac:dyDescent="0.25">
      <c r="A27" s="4">
        <v>26</v>
      </c>
      <c r="B27" s="5">
        <f t="shared" si="0"/>
        <v>45022</v>
      </c>
      <c r="C27" s="8">
        <v>59.58</v>
      </c>
      <c r="D27">
        <v>3.5</v>
      </c>
      <c r="E27">
        <v>19.5</v>
      </c>
      <c r="F27">
        <v>20.239999999999998</v>
      </c>
      <c r="G27">
        <v>96</v>
      </c>
    </row>
    <row r="28" spans="1:7" ht="15.75" customHeight="1" x14ac:dyDescent="0.25">
      <c r="A28" s="4">
        <v>27</v>
      </c>
      <c r="B28" s="5">
        <f t="shared" si="0"/>
        <v>45023</v>
      </c>
      <c r="C28" s="8">
        <v>38.58</v>
      </c>
      <c r="D28">
        <v>29.3</v>
      </c>
      <c r="E28">
        <v>12.6</v>
      </c>
      <c r="F28">
        <v>23.900000000000002</v>
      </c>
      <c r="G28">
        <v>83</v>
      </c>
    </row>
    <row r="29" spans="1:7" ht="15.75" customHeight="1" x14ac:dyDescent="0.25">
      <c r="A29" s="4">
        <v>28</v>
      </c>
      <c r="B29" s="5">
        <f t="shared" si="0"/>
        <v>45024</v>
      </c>
      <c r="C29" s="8">
        <v>49.019999999999996</v>
      </c>
      <c r="D29">
        <v>16.7</v>
      </c>
      <c r="E29">
        <v>22.9</v>
      </c>
      <c r="F29">
        <v>23.2</v>
      </c>
      <c r="G29">
        <v>123</v>
      </c>
    </row>
    <row r="30" spans="1:7" ht="15.75" customHeight="1" x14ac:dyDescent="0.25">
      <c r="A30" s="4">
        <v>29</v>
      </c>
      <c r="B30" s="5">
        <f t="shared" si="0"/>
        <v>45025</v>
      </c>
      <c r="C30" s="8">
        <v>52.760000000000005</v>
      </c>
      <c r="D30">
        <v>27.1</v>
      </c>
      <c r="E30">
        <v>22.9</v>
      </c>
      <c r="F30">
        <v>29.270000000000007</v>
      </c>
      <c r="G30">
        <v>124</v>
      </c>
    </row>
    <row r="31" spans="1:7" ht="15.75" customHeight="1" x14ac:dyDescent="0.25">
      <c r="A31" s="4">
        <v>30</v>
      </c>
      <c r="B31" s="5">
        <f t="shared" si="0"/>
        <v>45026</v>
      </c>
      <c r="C31" s="8">
        <v>15.12</v>
      </c>
      <c r="D31">
        <v>16</v>
      </c>
      <c r="E31">
        <v>40.799999999999997</v>
      </c>
      <c r="F31">
        <v>18.739999999999998</v>
      </c>
      <c r="G31">
        <v>111</v>
      </c>
    </row>
    <row r="32" spans="1:7" ht="15.75" customHeight="1" x14ac:dyDescent="0.25">
      <c r="A32" s="4">
        <v>31</v>
      </c>
      <c r="B32" s="5">
        <f t="shared" si="0"/>
        <v>45027</v>
      </c>
      <c r="C32" s="8">
        <v>59.58</v>
      </c>
      <c r="D32">
        <v>28.3</v>
      </c>
      <c r="E32">
        <v>43.2</v>
      </c>
      <c r="F32">
        <v>26.159999999999997</v>
      </c>
      <c r="G32">
        <v>114</v>
      </c>
    </row>
    <row r="33" spans="1:7" ht="15.75" customHeight="1" x14ac:dyDescent="0.25">
      <c r="A33" s="4">
        <v>32</v>
      </c>
      <c r="B33" s="5">
        <f t="shared" si="0"/>
        <v>45028</v>
      </c>
      <c r="C33" s="8">
        <v>92.987500000000011</v>
      </c>
      <c r="D33">
        <v>17.399999999999999</v>
      </c>
      <c r="E33">
        <v>38.6</v>
      </c>
      <c r="F33">
        <v>37.253750000000011</v>
      </c>
      <c r="G33">
        <v>91</v>
      </c>
    </row>
    <row r="34" spans="1:7" ht="15.75" customHeight="1" x14ac:dyDescent="0.25">
      <c r="A34" s="4">
        <v>33</v>
      </c>
      <c r="B34" s="5">
        <f t="shared" ref="B34:B65" si="1">+B35-1</f>
        <v>45029</v>
      </c>
      <c r="C34" s="8">
        <v>20.440000000000001</v>
      </c>
      <c r="D34">
        <v>1.5</v>
      </c>
      <c r="E34">
        <v>30</v>
      </c>
      <c r="F34">
        <v>18.47</v>
      </c>
      <c r="G34">
        <v>124</v>
      </c>
    </row>
    <row r="35" spans="1:7" ht="15.75" customHeight="1" x14ac:dyDescent="0.25">
      <c r="A35" s="4">
        <v>34</v>
      </c>
      <c r="B35" s="5">
        <f t="shared" si="1"/>
        <v>45030</v>
      </c>
      <c r="C35" s="8">
        <v>61.120000000000005</v>
      </c>
      <c r="D35">
        <v>20</v>
      </c>
      <c r="E35">
        <v>0.3</v>
      </c>
      <c r="F35">
        <v>36.440000000000005</v>
      </c>
      <c r="G35">
        <v>74</v>
      </c>
    </row>
    <row r="36" spans="1:7" ht="15.75" customHeight="1" x14ac:dyDescent="0.25">
      <c r="A36" s="4">
        <v>35</v>
      </c>
      <c r="B36" s="5">
        <f t="shared" si="1"/>
        <v>45031</v>
      </c>
      <c r="C36" s="8">
        <v>24.14</v>
      </c>
      <c r="D36">
        <v>1.4</v>
      </c>
      <c r="E36">
        <v>7.4</v>
      </c>
      <c r="F36">
        <v>7.3099999999999987</v>
      </c>
      <c r="G36">
        <v>127</v>
      </c>
    </row>
    <row r="37" spans="1:7" ht="15.75" customHeight="1" x14ac:dyDescent="0.25">
      <c r="A37" s="4">
        <v>36</v>
      </c>
      <c r="B37" s="5">
        <f t="shared" si="1"/>
        <v>45032</v>
      </c>
      <c r="C37" s="8">
        <v>62.14</v>
      </c>
      <c r="D37">
        <v>4.0999999999999996</v>
      </c>
      <c r="E37">
        <v>8.5</v>
      </c>
      <c r="F37">
        <v>27.72</v>
      </c>
      <c r="G37">
        <v>123</v>
      </c>
    </row>
    <row r="38" spans="1:7" ht="15.75" customHeight="1" x14ac:dyDescent="0.25">
      <c r="A38" s="4">
        <v>37</v>
      </c>
      <c r="B38" s="5">
        <f t="shared" si="1"/>
        <v>45033</v>
      </c>
      <c r="C38" s="8">
        <v>56.379999999999995</v>
      </c>
      <c r="D38">
        <v>43.8</v>
      </c>
      <c r="E38">
        <v>5</v>
      </c>
      <c r="F38">
        <v>41.756249999999994</v>
      </c>
      <c r="G38">
        <v>104</v>
      </c>
    </row>
    <row r="39" spans="1:7" ht="15.75" customHeight="1" x14ac:dyDescent="0.25">
      <c r="A39" s="4">
        <v>38</v>
      </c>
      <c r="B39" s="5">
        <f t="shared" si="1"/>
        <v>45034</v>
      </c>
      <c r="C39" s="8">
        <v>24.94</v>
      </c>
      <c r="D39">
        <v>49.4</v>
      </c>
      <c r="E39">
        <v>45.7</v>
      </c>
      <c r="F39">
        <v>13.89</v>
      </c>
      <c r="G39">
        <v>106</v>
      </c>
    </row>
    <row r="40" spans="1:7" ht="15.75" customHeight="1" x14ac:dyDescent="0.25">
      <c r="A40" s="4">
        <v>39</v>
      </c>
      <c r="B40" s="5">
        <f t="shared" si="1"/>
        <v>45035</v>
      </c>
      <c r="C40" s="8">
        <v>14.620000000000001</v>
      </c>
      <c r="D40">
        <v>26.7</v>
      </c>
      <c r="E40">
        <v>35.1</v>
      </c>
      <c r="F40">
        <v>3.6199999999999992</v>
      </c>
      <c r="G40">
        <v>110</v>
      </c>
    </row>
    <row r="41" spans="1:7" ht="15.75" customHeight="1" x14ac:dyDescent="0.25">
      <c r="A41" s="4">
        <v>40</v>
      </c>
      <c r="B41" s="5">
        <f t="shared" si="1"/>
        <v>45036</v>
      </c>
      <c r="C41" s="8">
        <v>53.6</v>
      </c>
      <c r="D41">
        <v>37.700000000000003</v>
      </c>
      <c r="E41">
        <v>32</v>
      </c>
      <c r="F41">
        <v>28.850000000000005</v>
      </c>
      <c r="G41">
        <v>114</v>
      </c>
    </row>
    <row r="42" spans="1:7" ht="15.75" customHeight="1" x14ac:dyDescent="0.25">
      <c r="A42" s="4">
        <v>41</v>
      </c>
      <c r="B42" s="5">
        <f t="shared" si="1"/>
        <v>45037</v>
      </c>
      <c r="C42" s="8">
        <v>45.5</v>
      </c>
      <c r="D42">
        <v>22.3</v>
      </c>
      <c r="E42">
        <v>31.6</v>
      </c>
      <c r="F42">
        <v>18.759999999999998</v>
      </c>
      <c r="G42">
        <v>83</v>
      </c>
    </row>
    <row r="43" spans="1:7" ht="15.75" customHeight="1" x14ac:dyDescent="0.25">
      <c r="A43" s="4">
        <v>42</v>
      </c>
      <c r="B43" s="5">
        <f t="shared" si="1"/>
        <v>45038</v>
      </c>
      <c r="C43" s="8">
        <v>40.4</v>
      </c>
      <c r="D43">
        <v>33.4</v>
      </c>
      <c r="E43">
        <v>38.700000000000003</v>
      </c>
      <c r="F43">
        <v>18.919999999999995</v>
      </c>
      <c r="G43">
        <v>128</v>
      </c>
    </row>
    <row r="44" spans="1:7" ht="15.75" customHeight="1" x14ac:dyDescent="0.25">
      <c r="A44" s="4">
        <v>43</v>
      </c>
      <c r="B44" s="5">
        <f t="shared" si="1"/>
        <v>45039</v>
      </c>
      <c r="C44" s="8">
        <v>67.72</v>
      </c>
      <c r="D44">
        <v>27.7</v>
      </c>
      <c r="E44">
        <v>1.8</v>
      </c>
      <c r="F44">
        <v>41.756249999999994</v>
      </c>
      <c r="G44">
        <v>105</v>
      </c>
    </row>
    <row r="45" spans="1:7" ht="15.75" customHeight="1" x14ac:dyDescent="0.25">
      <c r="A45" s="4">
        <v>44</v>
      </c>
      <c r="B45" s="5">
        <f t="shared" si="1"/>
        <v>45040</v>
      </c>
      <c r="C45" s="8">
        <v>51.38</v>
      </c>
      <c r="D45">
        <v>8.4</v>
      </c>
      <c r="E45">
        <v>26.4</v>
      </c>
      <c r="F45">
        <v>14.33</v>
      </c>
      <c r="G45">
        <v>126</v>
      </c>
    </row>
    <row r="46" spans="1:7" ht="15.75" customHeight="1" x14ac:dyDescent="0.25">
      <c r="A46" s="4">
        <v>45</v>
      </c>
      <c r="B46" s="5">
        <f t="shared" si="1"/>
        <v>45041</v>
      </c>
      <c r="C46" s="8">
        <v>12.02</v>
      </c>
      <c r="D46">
        <v>25.7</v>
      </c>
      <c r="E46">
        <v>43.3</v>
      </c>
      <c r="F46">
        <v>18.04</v>
      </c>
      <c r="G46">
        <v>152</v>
      </c>
    </row>
    <row r="47" spans="1:7" ht="15.75" customHeight="1" x14ac:dyDescent="0.25">
      <c r="A47" s="4">
        <v>46</v>
      </c>
      <c r="B47" s="5">
        <f t="shared" si="1"/>
        <v>45042</v>
      </c>
      <c r="C47" s="8">
        <v>42.019999999999996</v>
      </c>
      <c r="D47">
        <v>22.5</v>
      </c>
      <c r="E47">
        <v>31.5</v>
      </c>
      <c r="F47">
        <v>16.159999999999997</v>
      </c>
      <c r="G47">
        <v>116</v>
      </c>
    </row>
    <row r="48" spans="1:7" ht="15.75" customHeight="1" x14ac:dyDescent="0.25">
      <c r="A48" s="4">
        <v>47</v>
      </c>
      <c r="B48" s="5">
        <f t="shared" si="1"/>
        <v>45043</v>
      </c>
      <c r="C48" s="8">
        <v>18.940000000000001</v>
      </c>
      <c r="D48">
        <v>9.9</v>
      </c>
      <c r="E48">
        <v>35.700000000000003</v>
      </c>
      <c r="F48">
        <v>19.64</v>
      </c>
      <c r="G48">
        <v>119</v>
      </c>
    </row>
    <row r="49" spans="1:7" ht="15.75" customHeight="1" x14ac:dyDescent="0.25">
      <c r="A49" s="4">
        <v>48</v>
      </c>
      <c r="B49" s="5">
        <f t="shared" si="1"/>
        <v>45044</v>
      </c>
      <c r="C49" s="8">
        <v>52.980000000000004</v>
      </c>
      <c r="D49">
        <v>41.5</v>
      </c>
      <c r="E49">
        <v>18.5</v>
      </c>
      <c r="F49">
        <v>37.340000000000003</v>
      </c>
      <c r="G49">
        <v>151</v>
      </c>
    </row>
    <row r="50" spans="1:7" ht="15.75" customHeight="1" x14ac:dyDescent="0.25">
      <c r="A50" s="4">
        <v>49</v>
      </c>
      <c r="B50" s="5">
        <f t="shared" si="1"/>
        <v>45045</v>
      </c>
      <c r="C50" s="8">
        <v>46.44</v>
      </c>
      <c r="D50">
        <v>15.8</v>
      </c>
      <c r="E50">
        <v>49.9</v>
      </c>
      <c r="F50">
        <v>10.659999999999997</v>
      </c>
      <c r="G50">
        <v>120</v>
      </c>
    </row>
    <row r="51" spans="1:7" ht="15.75" customHeight="1" x14ac:dyDescent="0.25">
      <c r="A51" s="4">
        <v>50</v>
      </c>
      <c r="B51" s="5">
        <f t="shared" si="1"/>
        <v>45046</v>
      </c>
      <c r="C51" s="8">
        <v>14.38</v>
      </c>
      <c r="D51">
        <v>11.7</v>
      </c>
      <c r="E51">
        <v>36.799999999999997</v>
      </c>
      <c r="F51">
        <v>17.82</v>
      </c>
      <c r="G51">
        <v>112</v>
      </c>
    </row>
    <row r="52" spans="1:7" ht="15.75" customHeight="1" x14ac:dyDescent="0.25">
      <c r="A52" s="4">
        <v>51</v>
      </c>
      <c r="B52" s="5">
        <f t="shared" si="1"/>
        <v>45047</v>
      </c>
      <c r="C52" s="8">
        <v>43.96</v>
      </c>
      <c r="D52">
        <v>3.1</v>
      </c>
      <c r="E52">
        <v>34.6</v>
      </c>
      <c r="F52">
        <v>7.6899999999999995</v>
      </c>
      <c r="G52">
        <v>110</v>
      </c>
    </row>
    <row r="53" spans="1:7" ht="15.75" customHeight="1" x14ac:dyDescent="0.25">
      <c r="A53" s="4">
        <v>52</v>
      </c>
      <c r="B53" s="5">
        <f t="shared" si="1"/>
        <v>45048</v>
      </c>
      <c r="C53" s="8">
        <v>29.080000000000002</v>
      </c>
      <c r="D53">
        <v>9.6</v>
      </c>
      <c r="E53">
        <v>3.6</v>
      </c>
      <c r="F53">
        <v>13.4</v>
      </c>
      <c r="G53">
        <v>113</v>
      </c>
    </row>
    <row r="54" spans="1:7" ht="15.75" customHeight="1" x14ac:dyDescent="0.25">
      <c r="A54" s="4">
        <v>53</v>
      </c>
      <c r="B54" s="5">
        <f t="shared" si="1"/>
        <v>45049</v>
      </c>
      <c r="C54" s="8">
        <v>44.28</v>
      </c>
      <c r="D54">
        <v>41.7</v>
      </c>
      <c r="E54">
        <v>39.6</v>
      </c>
      <c r="F54">
        <v>26.65</v>
      </c>
      <c r="G54">
        <v>116</v>
      </c>
    </row>
    <row r="55" spans="1:7" ht="15.75" customHeight="1" x14ac:dyDescent="0.25">
      <c r="A55" s="4">
        <v>54</v>
      </c>
      <c r="B55" s="5">
        <f t="shared" si="1"/>
        <v>45050</v>
      </c>
      <c r="C55" s="8">
        <v>41.519999999999996</v>
      </c>
      <c r="D55">
        <v>46.2</v>
      </c>
      <c r="E55">
        <v>58.7</v>
      </c>
      <c r="F55">
        <v>17.879999999999995</v>
      </c>
      <c r="G55">
        <v>122</v>
      </c>
    </row>
    <row r="56" spans="1:7" ht="15.75" customHeight="1" x14ac:dyDescent="0.25">
      <c r="A56" s="4">
        <v>55</v>
      </c>
      <c r="B56" s="5">
        <f t="shared" si="1"/>
        <v>45051</v>
      </c>
      <c r="C56" s="8">
        <v>62.54</v>
      </c>
      <c r="D56">
        <v>28.8</v>
      </c>
      <c r="E56">
        <v>15.9</v>
      </c>
      <c r="F56">
        <v>34.31</v>
      </c>
      <c r="G56">
        <v>109</v>
      </c>
    </row>
    <row r="57" spans="1:7" ht="15.75" customHeight="1" x14ac:dyDescent="0.25">
      <c r="A57" s="4">
        <v>56</v>
      </c>
      <c r="B57" s="5">
        <f t="shared" si="1"/>
        <v>45052</v>
      </c>
      <c r="C57" s="8">
        <v>40.78</v>
      </c>
      <c r="D57">
        <v>49.4</v>
      </c>
      <c r="E57">
        <v>60</v>
      </c>
      <c r="F57">
        <v>20.590000000000003</v>
      </c>
      <c r="G57">
        <v>149</v>
      </c>
    </row>
    <row r="58" spans="1:7" ht="15.75" customHeight="1" x14ac:dyDescent="0.25">
      <c r="A58" s="4">
        <v>57</v>
      </c>
      <c r="B58" s="5">
        <f t="shared" si="1"/>
        <v>45053</v>
      </c>
      <c r="C58" s="8">
        <v>3.46</v>
      </c>
      <c r="D58">
        <v>28.1</v>
      </c>
      <c r="E58">
        <v>41.4</v>
      </c>
      <c r="F58">
        <v>18.220000000000002</v>
      </c>
      <c r="G58">
        <v>95</v>
      </c>
    </row>
    <row r="59" spans="1:7" ht="15.75" customHeight="1" x14ac:dyDescent="0.25">
      <c r="A59" s="4">
        <v>58</v>
      </c>
      <c r="B59" s="5">
        <f t="shared" si="1"/>
        <v>45054</v>
      </c>
      <c r="C59" s="8">
        <v>33.239999999999995</v>
      </c>
      <c r="D59">
        <v>19.2</v>
      </c>
      <c r="E59">
        <v>16.600000000000001</v>
      </c>
      <c r="F59">
        <v>16.579999999999998</v>
      </c>
      <c r="G59">
        <v>177</v>
      </c>
    </row>
    <row r="60" spans="1:7" ht="15.75" customHeight="1" x14ac:dyDescent="0.25">
      <c r="A60" s="4">
        <v>59</v>
      </c>
      <c r="B60" s="5">
        <f t="shared" si="1"/>
        <v>45055</v>
      </c>
      <c r="C60" s="8">
        <v>49.160000000000004</v>
      </c>
      <c r="D60">
        <v>49.6</v>
      </c>
      <c r="E60">
        <v>37.700000000000003</v>
      </c>
      <c r="F60">
        <v>30.8</v>
      </c>
      <c r="G60">
        <v>133</v>
      </c>
    </row>
    <row r="61" spans="1:7" ht="15.75" customHeight="1" x14ac:dyDescent="0.25">
      <c r="A61" s="4">
        <v>60</v>
      </c>
      <c r="B61" s="5">
        <f t="shared" si="1"/>
        <v>45056</v>
      </c>
      <c r="C61" s="8">
        <v>50.14</v>
      </c>
      <c r="D61">
        <v>29.5</v>
      </c>
      <c r="E61">
        <v>9.3000000000000007</v>
      </c>
      <c r="F61">
        <v>32.1</v>
      </c>
      <c r="G61">
        <v>91.5</v>
      </c>
    </row>
    <row r="62" spans="1:7" ht="15.75" customHeight="1" x14ac:dyDescent="0.25">
      <c r="A62" s="4">
        <v>61</v>
      </c>
      <c r="B62" s="5">
        <f t="shared" si="1"/>
        <v>45057</v>
      </c>
      <c r="C62" s="8">
        <v>16.7</v>
      </c>
      <c r="D62">
        <v>2</v>
      </c>
      <c r="E62">
        <v>21.4</v>
      </c>
      <c r="F62">
        <v>17.79</v>
      </c>
      <c r="G62">
        <v>152</v>
      </c>
    </row>
    <row r="63" spans="1:7" ht="15.75" customHeight="1" x14ac:dyDescent="0.25">
      <c r="A63" s="4">
        <v>62</v>
      </c>
      <c r="B63" s="5">
        <f t="shared" si="1"/>
        <v>45058</v>
      </c>
      <c r="C63" s="8">
        <v>61.260000000000005</v>
      </c>
      <c r="D63">
        <v>42.7</v>
      </c>
      <c r="E63">
        <v>54.7</v>
      </c>
      <c r="F63">
        <v>25.6</v>
      </c>
      <c r="G63">
        <v>149</v>
      </c>
    </row>
    <row r="64" spans="1:7" ht="15.75" customHeight="1" x14ac:dyDescent="0.25">
      <c r="A64" s="4">
        <v>63</v>
      </c>
      <c r="B64" s="5">
        <f t="shared" si="1"/>
        <v>45059</v>
      </c>
      <c r="C64" s="8">
        <v>53.86</v>
      </c>
      <c r="D64">
        <v>15.5</v>
      </c>
      <c r="E64">
        <v>27.3</v>
      </c>
      <c r="F64">
        <v>20.759999999999998</v>
      </c>
      <c r="G64">
        <v>108</v>
      </c>
    </row>
    <row r="65" spans="1:7" ht="15.75" customHeight="1" x14ac:dyDescent="0.25">
      <c r="A65" s="4">
        <v>64</v>
      </c>
      <c r="B65" s="5">
        <f t="shared" si="1"/>
        <v>45060</v>
      </c>
      <c r="C65" s="8">
        <v>27.54</v>
      </c>
      <c r="D65">
        <v>29.6</v>
      </c>
      <c r="E65">
        <v>8.4</v>
      </c>
      <c r="F65">
        <v>21.71</v>
      </c>
      <c r="G65">
        <v>173</v>
      </c>
    </row>
    <row r="66" spans="1:7" ht="15.75" customHeight="1" x14ac:dyDescent="0.25">
      <c r="A66" s="4">
        <v>65</v>
      </c>
      <c r="B66" s="5">
        <f t="shared" ref="B66:B97" si="2">+B67-1</f>
        <v>45061</v>
      </c>
      <c r="C66" s="8">
        <v>27.22</v>
      </c>
      <c r="D66">
        <v>42.8</v>
      </c>
      <c r="E66">
        <v>28.9</v>
      </c>
      <c r="F66">
        <v>22.949999999999996</v>
      </c>
      <c r="G66">
        <v>113</v>
      </c>
    </row>
    <row r="67" spans="1:7" ht="15.75" customHeight="1" x14ac:dyDescent="0.25">
      <c r="A67" s="4">
        <v>66</v>
      </c>
      <c r="B67" s="5">
        <f t="shared" si="2"/>
        <v>45062</v>
      </c>
      <c r="C67" s="8">
        <v>21.8</v>
      </c>
      <c r="D67">
        <v>9.3000000000000007</v>
      </c>
      <c r="E67">
        <v>0.9</v>
      </c>
      <c r="F67">
        <v>11.190000000000001</v>
      </c>
      <c r="G67">
        <v>104</v>
      </c>
    </row>
    <row r="68" spans="1:7" ht="15.75" customHeight="1" x14ac:dyDescent="0.25">
      <c r="A68" s="4">
        <v>67</v>
      </c>
      <c r="B68" s="5">
        <f t="shared" si="2"/>
        <v>45063</v>
      </c>
      <c r="C68" s="8">
        <v>15.3</v>
      </c>
      <c r="D68">
        <v>24.6</v>
      </c>
      <c r="E68">
        <v>2.2000000000000002</v>
      </c>
      <c r="F68">
        <v>14.57</v>
      </c>
      <c r="G68">
        <v>187</v>
      </c>
    </row>
    <row r="69" spans="1:7" ht="15.75" customHeight="1" x14ac:dyDescent="0.25">
      <c r="A69" s="4">
        <v>68</v>
      </c>
      <c r="B69" s="5">
        <f t="shared" si="2"/>
        <v>45064</v>
      </c>
      <c r="C69" s="8">
        <v>30.860000000000003</v>
      </c>
      <c r="D69">
        <v>14.5</v>
      </c>
      <c r="E69">
        <v>10.199999999999999</v>
      </c>
      <c r="F69">
        <v>17.100000000000001</v>
      </c>
      <c r="G69">
        <v>294</v>
      </c>
    </row>
    <row r="70" spans="1:7" ht="15.75" customHeight="1" x14ac:dyDescent="0.25">
      <c r="A70" s="4">
        <v>69</v>
      </c>
      <c r="B70" s="5">
        <f t="shared" si="2"/>
        <v>45065</v>
      </c>
      <c r="C70" s="8">
        <v>51.480000000000004</v>
      </c>
      <c r="D70">
        <v>27.5</v>
      </c>
      <c r="E70">
        <v>11</v>
      </c>
      <c r="F70">
        <v>33.090000000000003</v>
      </c>
      <c r="G70">
        <v>147</v>
      </c>
    </row>
    <row r="71" spans="1:7" ht="15.75" customHeight="1" x14ac:dyDescent="0.25">
      <c r="A71" s="4">
        <v>70</v>
      </c>
      <c r="B71" s="5">
        <f t="shared" si="2"/>
        <v>45066</v>
      </c>
      <c r="C71" s="8">
        <v>48.36</v>
      </c>
      <c r="D71">
        <v>43.9</v>
      </c>
      <c r="E71">
        <v>27.2</v>
      </c>
      <c r="F71">
        <v>32.749999999999993</v>
      </c>
      <c r="G71">
        <v>116</v>
      </c>
    </row>
    <row r="72" spans="1:7" ht="15.75" customHeight="1" x14ac:dyDescent="0.25">
      <c r="A72" s="4">
        <v>71</v>
      </c>
      <c r="B72" s="5">
        <f t="shared" si="2"/>
        <v>45067</v>
      </c>
      <c r="C72" s="8">
        <v>44.82</v>
      </c>
      <c r="D72">
        <v>30.6</v>
      </c>
      <c r="E72">
        <v>38.700000000000003</v>
      </c>
      <c r="F72">
        <v>19.729999999999997</v>
      </c>
      <c r="G72">
        <v>183</v>
      </c>
    </row>
    <row r="73" spans="1:7" ht="15.75" customHeight="1" x14ac:dyDescent="0.25">
      <c r="A73" s="4">
        <v>72</v>
      </c>
      <c r="B73" s="5">
        <f t="shared" si="2"/>
        <v>45068</v>
      </c>
      <c r="C73" s="8">
        <v>29.96</v>
      </c>
      <c r="D73">
        <v>14.3</v>
      </c>
      <c r="E73">
        <v>31.7</v>
      </c>
      <c r="F73">
        <v>5.4500000000000028</v>
      </c>
      <c r="G73">
        <v>180</v>
      </c>
    </row>
    <row r="74" spans="1:7" ht="15.75" customHeight="1" x14ac:dyDescent="0.25">
      <c r="A74" s="4">
        <v>73</v>
      </c>
      <c r="B74" s="5">
        <f t="shared" si="2"/>
        <v>45069</v>
      </c>
      <c r="C74" s="8">
        <v>15.36</v>
      </c>
      <c r="D74">
        <v>33</v>
      </c>
      <c r="E74">
        <v>19.3</v>
      </c>
      <c r="F74">
        <v>11.459999999999999</v>
      </c>
      <c r="G74">
        <v>132</v>
      </c>
    </row>
    <row r="75" spans="1:7" ht="15.75" customHeight="1" x14ac:dyDescent="0.25">
      <c r="A75" s="4">
        <v>74</v>
      </c>
      <c r="B75" s="5">
        <f t="shared" si="2"/>
        <v>45070</v>
      </c>
      <c r="C75" s="8">
        <v>28.880000000000003</v>
      </c>
      <c r="D75">
        <v>5.7</v>
      </c>
      <c r="E75">
        <v>31.3</v>
      </c>
      <c r="F75">
        <v>3.2699999999999996</v>
      </c>
      <c r="G75">
        <v>117</v>
      </c>
    </row>
    <row r="76" spans="1:7" ht="15.75" customHeight="1" x14ac:dyDescent="0.25">
      <c r="A76" s="4">
        <v>75</v>
      </c>
      <c r="B76" s="5">
        <f t="shared" si="2"/>
        <v>45071</v>
      </c>
      <c r="C76" s="8">
        <v>50.68</v>
      </c>
      <c r="D76">
        <v>0</v>
      </c>
      <c r="E76">
        <v>13.1</v>
      </c>
      <c r="F76">
        <v>28.4</v>
      </c>
      <c r="G76">
        <v>140</v>
      </c>
    </row>
    <row r="77" spans="1:7" ht="15.75" customHeight="1" x14ac:dyDescent="0.25">
      <c r="A77" s="4">
        <v>76</v>
      </c>
      <c r="B77" s="5">
        <f t="shared" si="2"/>
        <v>45072</v>
      </c>
      <c r="C77" s="8">
        <v>12.379999999999999</v>
      </c>
      <c r="D77">
        <v>43.7</v>
      </c>
      <c r="E77">
        <v>89.4</v>
      </c>
      <c r="F77">
        <v>7.7799999999999976</v>
      </c>
      <c r="G77">
        <v>112</v>
      </c>
    </row>
    <row r="78" spans="1:7" ht="15.75" customHeight="1" x14ac:dyDescent="0.25">
      <c r="A78" s="4">
        <v>77</v>
      </c>
      <c r="B78" s="5">
        <f t="shared" si="2"/>
        <v>45073</v>
      </c>
      <c r="C78" s="8">
        <v>13.5</v>
      </c>
      <c r="D78">
        <v>1.6</v>
      </c>
      <c r="E78">
        <v>20.7</v>
      </c>
      <c r="F78">
        <v>15.27</v>
      </c>
      <c r="G78">
        <v>172</v>
      </c>
    </row>
    <row r="79" spans="1:7" ht="15.75" customHeight="1" x14ac:dyDescent="0.25">
      <c r="A79" s="4">
        <v>78</v>
      </c>
      <c r="B79" s="5">
        <f t="shared" si="2"/>
        <v>45074</v>
      </c>
      <c r="C79" s="8">
        <v>25.1</v>
      </c>
      <c r="D79">
        <v>28.5</v>
      </c>
      <c r="E79">
        <v>14.2</v>
      </c>
      <c r="F79">
        <v>20.62</v>
      </c>
      <c r="G79">
        <v>127</v>
      </c>
    </row>
    <row r="80" spans="1:7" ht="15.75" customHeight="1" x14ac:dyDescent="0.25">
      <c r="A80" s="4">
        <v>79</v>
      </c>
      <c r="B80" s="5">
        <f t="shared" si="2"/>
        <v>45075</v>
      </c>
      <c r="C80" s="8">
        <v>8.08</v>
      </c>
      <c r="D80">
        <v>29.9</v>
      </c>
      <c r="E80">
        <v>9.4</v>
      </c>
      <c r="F80">
        <v>11.729999999999999</v>
      </c>
      <c r="G80">
        <v>129</v>
      </c>
    </row>
    <row r="81" spans="1:7" ht="15.75" customHeight="1" x14ac:dyDescent="0.25">
      <c r="A81" s="4">
        <v>80</v>
      </c>
      <c r="B81" s="5">
        <f t="shared" si="2"/>
        <v>45076</v>
      </c>
      <c r="C81" s="8">
        <v>31.2</v>
      </c>
      <c r="D81">
        <v>7.7</v>
      </c>
      <c r="E81">
        <v>23.1</v>
      </c>
      <c r="F81">
        <v>6.2099999999999991</v>
      </c>
      <c r="G81">
        <v>117</v>
      </c>
    </row>
    <row r="82" spans="1:7" ht="15.75" customHeight="1" x14ac:dyDescent="0.25">
      <c r="A82" s="4">
        <v>81</v>
      </c>
      <c r="B82" s="5">
        <f t="shared" si="2"/>
        <v>45077</v>
      </c>
      <c r="C82" s="8">
        <v>19.28</v>
      </c>
      <c r="D82">
        <v>26.7</v>
      </c>
      <c r="E82">
        <v>22.3</v>
      </c>
      <c r="F82">
        <v>12.070000000000002</v>
      </c>
      <c r="G82">
        <v>135</v>
      </c>
    </row>
    <row r="83" spans="1:7" ht="15.75" customHeight="1" x14ac:dyDescent="0.25">
      <c r="A83" s="4">
        <v>82</v>
      </c>
      <c r="B83" s="5">
        <f t="shared" si="2"/>
        <v>45078</v>
      </c>
      <c r="C83" s="8">
        <v>29.96</v>
      </c>
      <c r="D83">
        <v>4.0999999999999996</v>
      </c>
      <c r="E83">
        <v>36.9</v>
      </c>
      <c r="F83">
        <v>11.270000000000001</v>
      </c>
      <c r="G83">
        <v>152</v>
      </c>
    </row>
    <row r="84" spans="1:7" ht="15.75" customHeight="1" x14ac:dyDescent="0.25">
      <c r="A84" s="4">
        <v>83</v>
      </c>
      <c r="B84" s="5">
        <f t="shared" si="2"/>
        <v>45079</v>
      </c>
      <c r="C84" s="8">
        <v>18.059999999999999</v>
      </c>
      <c r="D84">
        <v>20.3</v>
      </c>
      <c r="E84">
        <v>32.5</v>
      </c>
      <c r="F84">
        <v>4.68</v>
      </c>
      <c r="G84">
        <v>123</v>
      </c>
    </row>
    <row r="85" spans="1:7" ht="15.75" customHeight="1" x14ac:dyDescent="0.25">
      <c r="A85" s="4">
        <v>84</v>
      </c>
      <c r="B85" s="5">
        <f t="shared" si="2"/>
        <v>45080</v>
      </c>
      <c r="C85" s="8">
        <v>22.68</v>
      </c>
      <c r="D85">
        <v>44.5</v>
      </c>
      <c r="E85">
        <v>35.6</v>
      </c>
      <c r="F85">
        <v>14.849999999999998</v>
      </c>
      <c r="G85">
        <v>120</v>
      </c>
    </row>
    <row r="86" spans="1:7" ht="15.75" customHeight="1" x14ac:dyDescent="0.25">
      <c r="A86" s="4">
        <v>85</v>
      </c>
      <c r="B86" s="5">
        <f t="shared" si="2"/>
        <v>45081</v>
      </c>
      <c r="C86" s="8">
        <v>45.7</v>
      </c>
      <c r="D86">
        <v>43</v>
      </c>
      <c r="E86">
        <v>33.799999999999997</v>
      </c>
      <c r="F86">
        <v>29.330000000000002</v>
      </c>
      <c r="G86">
        <v>125</v>
      </c>
    </row>
    <row r="87" spans="1:7" ht="15.75" customHeight="1" x14ac:dyDescent="0.25">
      <c r="A87" s="4">
        <v>86</v>
      </c>
      <c r="B87" s="5">
        <f t="shared" si="2"/>
        <v>45082</v>
      </c>
      <c r="C87" s="8">
        <v>42.64</v>
      </c>
      <c r="D87">
        <v>18.399999999999999</v>
      </c>
      <c r="E87">
        <v>65.7</v>
      </c>
      <c r="F87">
        <v>2.2399999999999984</v>
      </c>
      <c r="G87">
        <v>197</v>
      </c>
    </row>
    <row r="88" spans="1:7" ht="15.75" customHeight="1" x14ac:dyDescent="0.25">
      <c r="A88" s="4">
        <v>87</v>
      </c>
      <c r="B88" s="5">
        <f t="shared" si="2"/>
        <v>45083</v>
      </c>
      <c r="C88" s="8">
        <v>21.259999999999998</v>
      </c>
      <c r="D88">
        <v>27.5</v>
      </c>
      <c r="E88">
        <v>16</v>
      </c>
      <c r="F88">
        <v>14.979999999999999</v>
      </c>
      <c r="G88">
        <v>93</v>
      </c>
    </row>
    <row r="89" spans="1:7" ht="15.75" customHeight="1" x14ac:dyDescent="0.25">
      <c r="A89" s="4">
        <v>88</v>
      </c>
      <c r="B89" s="5">
        <f t="shared" si="2"/>
        <v>45084</v>
      </c>
      <c r="C89" s="8">
        <v>28.14</v>
      </c>
      <c r="D89">
        <v>40.6</v>
      </c>
      <c r="E89">
        <v>63.2</v>
      </c>
      <c r="F89">
        <v>6.09</v>
      </c>
      <c r="G89">
        <v>138</v>
      </c>
    </row>
    <row r="90" spans="1:7" ht="15.75" customHeight="1" x14ac:dyDescent="0.25">
      <c r="A90" s="4">
        <v>89</v>
      </c>
      <c r="B90" s="5">
        <f t="shared" si="2"/>
        <v>45085</v>
      </c>
      <c r="C90" s="8">
        <v>27.66</v>
      </c>
      <c r="D90">
        <v>76.949999999999989</v>
      </c>
      <c r="E90">
        <v>73.400000000000006</v>
      </c>
      <c r="F90">
        <v>12.219999999999995</v>
      </c>
      <c r="G90">
        <v>148</v>
      </c>
    </row>
    <row r="91" spans="1:7" ht="15.75" customHeight="1" x14ac:dyDescent="0.25">
      <c r="A91" s="4">
        <v>90</v>
      </c>
      <c r="B91" s="5">
        <f t="shared" si="2"/>
        <v>45086</v>
      </c>
      <c r="C91" s="8">
        <v>23.96</v>
      </c>
      <c r="D91">
        <v>47.8</v>
      </c>
      <c r="E91">
        <v>51.4</v>
      </c>
      <c r="F91">
        <v>14.319999999999993</v>
      </c>
      <c r="G91">
        <v>184</v>
      </c>
    </row>
    <row r="92" spans="1:7" ht="15.75" customHeight="1" x14ac:dyDescent="0.25">
      <c r="A92" s="4">
        <v>91</v>
      </c>
      <c r="B92" s="5">
        <f t="shared" si="2"/>
        <v>45087</v>
      </c>
      <c r="C92" s="8">
        <v>31.860000000000003</v>
      </c>
      <c r="D92">
        <v>4.9000000000000004</v>
      </c>
      <c r="E92">
        <v>9.3000000000000007</v>
      </c>
      <c r="F92">
        <v>12.160000000000002</v>
      </c>
      <c r="G92">
        <v>133</v>
      </c>
    </row>
    <row r="93" spans="1:7" ht="15.75" customHeight="1" x14ac:dyDescent="0.25">
      <c r="A93" s="4">
        <v>92</v>
      </c>
      <c r="B93" s="5">
        <f t="shared" si="2"/>
        <v>45088</v>
      </c>
      <c r="C93" s="8">
        <v>14.72</v>
      </c>
      <c r="D93">
        <v>1.5</v>
      </c>
      <c r="E93">
        <v>33</v>
      </c>
      <c r="F93">
        <v>10.41</v>
      </c>
      <c r="G93">
        <v>171</v>
      </c>
    </row>
    <row r="94" spans="1:7" ht="15.75" customHeight="1" x14ac:dyDescent="0.25">
      <c r="A94" s="4">
        <v>93</v>
      </c>
      <c r="B94" s="5">
        <f t="shared" si="2"/>
        <v>45089</v>
      </c>
      <c r="C94" s="8">
        <v>47.54</v>
      </c>
      <c r="D94">
        <v>33.5</v>
      </c>
      <c r="E94">
        <v>59</v>
      </c>
      <c r="F94">
        <v>14.919999999999995</v>
      </c>
      <c r="G94">
        <v>193</v>
      </c>
    </row>
    <row r="95" spans="1:7" ht="15.75" customHeight="1" x14ac:dyDescent="0.25">
      <c r="A95" s="4">
        <v>94</v>
      </c>
      <c r="B95" s="5">
        <f t="shared" si="2"/>
        <v>45090</v>
      </c>
      <c r="C95" s="8">
        <v>56.18</v>
      </c>
      <c r="D95">
        <v>36.5</v>
      </c>
      <c r="E95">
        <v>72.3</v>
      </c>
      <c r="F95">
        <v>14.420000000000002</v>
      </c>
      <c r="G95">
        <v>108</v>
      </c>
    </row>
    <row r="96" spans="1:7" ht="15.75" customHeight="1" x14ac:dyDescent="0.25">
      <c r="A96" s="4">
        <v>95</v>
      </c>
      <c r="B96" s="5">
        <f t="shared" si="2"/>
        <v>45091</v>
      </c>
      <c r="C96" s="8">
        <v>30.48</v>
      </c>
      <c r="D96">
        <v>14</v>
      </c>
      <c r="E96">
        <v>10.9</v>
      </c>
      <c r="F96">
        <v>13.380000000000003</v>
      </c>
      <c r="G96">
        <v>163</v>
      </c>
    </row>
    <row r="97" spans="1:7" ht="15.75" customHeight="1" x14ac:dyDescent="0.25">
      <c r="A97" s="4">
        <v>96</v>
      </c>
      <c r="B97" s="5">
        <f t="shared" si="2"/>
        <v>45092</v>
      </c>
      <c r="C97" s="8">
        <v>40.660000000000004</v>
      </c>
      <c r="D97">
        <v>31.6</v>
      </c>
      <c r="E97">
        <v>52.9</v>
      </c>
      <c r="F97">
        <v>10.970000000000002</v>
      </c>
      <c r="G97">
        <v>108</v>
      </c>
    </row>
    <row r="98" spans="1:7" ht="15.75" customHeight="1" x14ac:dyDescent="0.25">
      <c r="A98" s="4">
        <v>97</v>
      </c>
      <c r="B98" s="5">
        <f t="shared" ref="B98:B134" si="3">+B99-1</f>
        <v>45093</v>
      </c>
      <c r="C98" s="8">
        <v>46.519999999999996</v>
      </c>
      <c r="D98">
        <v>3.5</v>
      </c>
      <c r="E98">
        <v>5.9</v>
      </c>
      <c r="F98">
        <v>19.149999999999999</v>
      </c>
      <c r="G98">
        <v>129</v>
      </c>
    </row>
    <row r="99" spans="1:7" ht="15.75" customHeight="1" x14ac:dyDescent="0.25">
      <c r="A99" s="4">
        <v>98</v>
      </c>
      <c r="B99" s="5">
        <f t="shared" si="3"/>
        <v>45094</v>
      </c>
      <c r="C99" s="8">
        <v>41.980000000000004</v>
      </c>
      <c r="D99">
        <v>21</v>
      </c>
      <c r="E99">
        <v>22</v>
      </c>
      <c r="F99">
        <v>20.190000000000001</v>
      </c>
      <c r="G99">
        <v>208</v>
      </c>
    </row>
    <row r="100" spans="1:7" ht="15.75" customHeight="1" x14ac:dyDescent="0.25">
      <c r="A100" s="4">
        <v>99</v>
      </c>
      <c r="B100" s="5">
        <f t="shared" si="3"/>
        <v>45095</v>
      </c>
      <c r="C100" s="8">
        <v>64.94</v>
      </c>
      <c r="D100">
        <v>42.3</v>
      </c>
      <c r="E100">
        <v>51.2</v>
      </c>
      <c r="F100">
        <v>29.639999999999993</v>
      </c>
      <c r="G100">
        <v>196</v>
      </c>
    </row>
    <row r="101" spans="1:7" ht="15.75" customHeight="1" x14ac:dyDescent="0.25">
      <c r="A101" s="4">
        <v>100</v>
      </c>
      <c r="B101" s="5">
        <f t="shared" si="3"/>
        <v>45096</v>
      </c>
      <c r="C101" s="8">
        <v>28.04</v>
      </c>
      <c r="D101">
        <v>41.7</v>
      </c>
      <c r="E101">
        <v>45.9</v>
      </c>
      <c r="F101">
        <v>16.010000000000005</v>
      </c>
      <c r="G101">
        <v>129</v>
      </c>
    </row>
    <row r="102" spans="1:7" ht="15.75" customHeight="1" x14ac:dyDescent="0.25">
      <c r="A102" s="4">
        <v>101</v>
      </c>
      <c r="B102" s="5">
        <f t="shared" si="3"/>
        <v>45097</v>
      </c>
      <c r="C102" s="8">
        <v>51.480000000000004</v>
      </c>
      <c r="D102">
        <v>4.3</v>
      </c>
      <c r="E102">
        <v>49.8</v>
      </c>
      <c r="F102">
        <v>4.4699999999999989</v>
      </c>
      <c r="G102">
        <v>163</v>
      </c>
    </row>
    <row r="103" spans="1:7" ht="15.75" customHeight="1" x14ac:dyDescent="0.25">
      <c r="A103" s="4">
        <v>102</v>
      </c>
      <c r="B103" s="5">
        <f t="shared" si="3"/>
        <v>45098</v>
      </c>
      <c r="C103" s="8">
        <v>63.279999999999994</v>
      </c>
      <c r="D103">
        <v>36.299999999999997</v>
      </c>
      <c r="E103">
        <v>93.625</v>
      </c>
      <c r="F103">
        <v>10.339999999999989</v>
      </c>
      <c r="G103">
        <v>167</v>
      </c>
    </row>
    <row r="104" spans="1:7" ht="15.75" customHeight="1" x14ac:dyDescent="0.25">
      <c r="A104" s="4">
        <v>103</v>
      </c>
      <c r="B104" s="5">
        <f t="shared" si="3"/>
        <v>45099</v>
      </c>
      <c r="C104" s="8">
        <v>64.039999999999992</v>
      </c>
      <c r="D104">
        <v>10.1</v>
      </c>
      <c r="E104">
        <v>21.4</v>
      </c>
      <c r="F104">
        <v>24.509999999999998</v>
      </c>
      <c r="G104">
        <v>159</v>
      </c>
    </row>
    <row r="105" spans="1:7" ht="15.75" customHeight="1" x14ac:dyDescent="0.25">
      <c r="A105" s="4">
        <v>104</v>
      </c>
      <c r="B105" s="5">
        <f t="shared" si="3"/>
        <v>45100</v>
      </c>
      <c r="C105" s="8">
        <v>38.58</v>
      </c>
      <c r="D105">
        <v>17.2</v>
      </c>
      <c r="E105">
        <v>17.899999999999999</v>
      </c>
      <c r="F105">
        <v>20.23</v>
      </c>
      <c r="G105">
        <v>111</v>
      </c>
    </row>
    <row r="106" spans="1:7" ht="15.75" customHeight="1" x14ac:dyDescent="0.25">
      <c r="A106" s="4">
        <v>105</v>
      </c>
      <c r="B106" s="5">
        <f t="shared" si="3"/>
        <v>45101</v>
      </c>
      <c r="C106" s="8">
        <v>54.64</v>
      </c>
      <c r="D106">
        <v>34.299999999999997</v>
      </c>
      <c r="E106">
        <v>5.3</v>
      </c>
      <c r="F106">
        <v>38.85</v>
      </c>
      <c r="G106">
        <v>131</v>
      </c>
    </row>
    <row r="107" spans="1:7" ht="15.75" customHeight="1" x14ac:dyDescent="0.25">
      <c r="A107" s="4">
        <v>106</v>
      </c>
      <c r="B107" s="5">
        <f t="shared" si="3"/>
        <v>45102</v>
      </c>
      <c r="C107" s="8">
        <v>37.58</v>
      </c>
      <c r="D107">
        <v>46.4</v>
      </c>
      <c r="E107">
        <v>59</v>
      </c>
      <c r="F107">
        <v>13.39</v>
      </c>
      <c r="G107">
        <v>186</v>
      </c>
    </row>
    <row r="108" spans="1:7" ht="15.75" customHeight="1" x14ac:dyDescent="0.25">
      <c r="A108" s="4">
        <v>107</v>
      </c>
      <c r="B108" s="5">
        <f t="shared" si="3"/>
        <v>45103</v>
      </c>
      <c r="C108" s="8">
        <v>8</v>
      </c>
      <c r="D108">
        <v>11</v>
      </c>
      <c r="E108">
        <v>29.7</v>
      </c>
      <c r="F108">
        <v>16.119999999999997</v>
      </c>
      <c r="G108">
        <v>169</v>
      </c>
    </row>
    <row r="109" spans="1:7" ht="15.75" customHeight="1" x14ac:dyDescent="0.25">
      <c r="A109" s="4">
        <v>108</v>
      </c>
      <c r="B109" s="5">
        <f t="shared" si="3"/>
        <v>45104</v>
      </c>
      <c r="C109" s="8">
        <v>27.080000000000002</v>
      </c>
      <c r="D109">
        <v>0.3</v>
      </c>
      <c r="E109">
        <v>23.2</v>
      </c>
      <c r="F109">
        <v>19.910000000000004</v>
      </c>
      <c r="G109">
        <v>175</v>
      </c>
    </row>
    <row r="110" spans="1:7" ht="15.75" customHeight="1" x14ac:dyDescent="0.25">
      <c r="A110" s="4">
        <v>109</v>
      </c>
      <c r="B110" s="5">
        <f t="shared" si="3"/>
        <v>45105</v>
      </c>
      <c r="C110" s="8">
        <v>9.620000000000001</v>
      </c>
      <c r="D110">
        <v>0.4</v>
      </c>
      <c r="E110">
        <v>25.6</v>
      </c>
      <c r="F110">
        <v>11.269999999999998</v>
      </c>
      <c r="G110">
        <v>240</v>
      </c>
    </row>
    <row r="111" spans="1:7" ht="15.75" customHeight="1" x14ac:dyDescent="0.25">
      <c r="A111" s="4">
        <v>110</v>
      </c>
      <c r="B111" s="5">
        <f t="shared" si="3"/>
        <v>45106</v>
      </c>
      <c r="C111" s="8">
        <v>53.08</v>
      </c>
      <c r="D111">
        <v>26.9</v>
      </c>
      <c r="E111">
        <v>5.5</v>
      </c>
      <c r="F111">
        <v>36.789999999999992</v>
      </c>
      <c r="G111">
        <v>119</v>
      </c>
    </row>
    <row r="112" spans="1:7" ht="15.75" customHeight="1" x14ac:dyDescent="0.25">
      <c r="A112" s="4">
        <v>111</v>
      </c>
      <c r="B112" s="5">
        <f t="shared" si="3"/>
        <v>45107</v>
      </c>
      <c r="C112" s="8">
        <v>54.160000000000004</v>
      </c>
      <c r="D112">
        <v>8.1999999999999993</v>
      </c>
      <c r="E112">
        <v>56.5</v>
      </c>
      <c r="F112">
        <v>4.0799999999999983</v>
      </c>
      <c r="G112">
        <v>135</v>
      </c>
    </row>
    <row r="113" spans="1:7" ht="15.75" customHeight="1" x14ac:dyDescent="0.25">
      <c r="A113" s="4">
        <v>112</v>
      </c>
      <c r="B113" s="5">
        <f t="shared" si="3"/>
        <v>45108</v>
      </c>
      <c r="C113" s="8">
        <v>55.339999999999996</v>
      </c>
      <c r="D113">
        <v>38</v>
      </c>
      <c r="E113">
        <v>23.2</v>
      </c>
      <c r="F113">
        <v>33.89</v>
      </c>
      <c r="G113">
        <v>186</v>
      </c>
    </row>
    <row r="114" spans="1:7" ht="15.75" customHeight="1" x14ac:dyDescent="0.25">
      <c r="A114" s="4">
        <v>113</v>
      </c>
      <c r="B114" s="5">
        <f t="shared" si="3"/>
        <v>45109</v>
      </c>
      <c r="C114" s="8">
        <v>39.14</v>
      </c>
      <c r="D114">
        <v>15.4</v>
      </c>
      <c r="E114">
        <v>2.4</v>
      </c>
      <c r="F114">
        <v>24.31</v>
      </c>
      <c r="G114">
        <v>204</v>
      </c>
    </row>
    <row r="115" spans="1:7" ht="15.75" customHeight="1" x14ac:dyDescent="0.25">
      <c r="A115" s="4">
        <v>114</v>
      </c>
      <c r="B115" s="5">
        <f t="shared" si="3"/>
        <v>45110</v>
      </c>
      <c r="C115" s="8">
        <v>44.92</v>
      </c>
      <c r="D115">
        <v>20.6</v>
      </c>
      <c r="E115">
        <v>10.7</v>
      </c>
      <c r="F115">
        <v>26.98</v>
      </c>
      <c r="G115">
        <v>225</v>
      </c>
    </row>
    <row r="116" spans="1:7" ht="15.75" customHeight="1" x14ac:dyDescent="0.25">
      <c r="A116" s="4">
        <v>115</v>
      </c>
      <c r="B116" s="5">
        <f t="shared" si="3"/>
        <v>45111</v>
      </c>
      <c r="C116" s="8">
        <v>18.64</v>
      </c>
      <c r="D116">
        <v>46.8</v>
      </c>
      <c r="E116">
        <v>34.5</v>
      </c>
      <c r="F116">
        <v>17.419999999999998</v>
      </c>
      <c r="G116">
        <v>168</v>
      </c>
    </row>
    <row r="117" spans="1:7" ht="15.75" customHeight="1" x14ac:dyDescent="0.25">
      <c r="A117" s="4">
        <v>116</v>
      </c>
      <c r="B117" s="5">
        <f t="shared" si="3"/>
        <v>45112</v>
      </c>
      <c r="C117" s="8">
        <v>24.02</v>
      </c>
      <c r="D117">
        <v>35</v>
      </c>
      <c r="E117">
        <v>52.7</v>
      </c>
      <c r="F117">
        <v>3.9299999999999962</v>
      </c>
      <c r="G117">
        <v>165</v>
      </c>
    </row>
    <row r="118" spans="1:7" ht="15.75" customHeight="1" x14ac:dyDescent="0.25">
      <c r="A118" s="4">
        <v>117</v>
      </c>
      <c r="B118" s="5">
        <f t="shared" si="3"/>
        <v>45113</v>
      </c>
      <c r="C118" s="8">
        <v>37.839999999999996</v>
      </c>
      <c r="D118">
        <v>14.3</v>
      </c>
      <c r="E118">
        <v>25.6</v>
      </c>
      <c r="F118">
        <v>10.829999999999998</v>
      </c>
      <c r="G118">
        <v>240</v>
      </c>
    </row>
    <row r="119" spans="1:7" ht="15.75" customHeight="1" x14ac:dyDescent="0.25">
      <c r="A119" s="4">
        <v>118</v>
      </c>
      <c r="B119" s="5">
        <f t="shared" si="3"/>
        <v>45114</v>
      </c>
      <c r="C119" s="8">
        <v>25.28</v>
      </c>
      <c r="D119">
        <v>0.8</v>
      </c>
      <c r="E119">
        <v>14.8</v>
      </c>
      <c r="F119">
        <v>2.12</v>
      </c>
      <c r="G119">
        <v>159</v>
      </c>
    </row>
    <row r="120" spans="1:7" ht="15.75" customHeight="1" x14ac:dyDescent="0.25">
      <c r="A120" s="4">
        <v>119</v>
      </c>
      <c r="B120" s="5">
        <f t="shared" si="3"/>
        <v>45115</v>
      </c>
      <c r="C120" s="8">
        <v>29.14</v>
      </c>
      <c r="D120">
        <v>36.9</v>
      </c>
      <c r="E120">
        <v>79.2</v>
      </c>
      <c r="F120">
        <v>19.339999999999996</v>
      </c>
      <c r="G120">
        <v>168</v>
      </c>
    </row>
    <row r="121" spans="1:7" ht="15.75" customHeight="1" x14ac:dyDescent="0.25">
      <c r="A121" s="4">
        <v>120</v>
      </c>
      <c r="B121" s="5">
        <f t="shared" si="3"/>
        <v>45116</v>
      </c>
      <c r="C121" s="8">
        <v>9.879999999999999</v>
      </c>
      <c r="D121">
        <v>16</v>
      </c>
      <c r="E121">
        <v>22.3</v>
      </c>
      <c r="F121">
        <v>1.0199999999999996</v>
      </c>
      <c r="G121">
        <v>163</v>
      </c>
    </row>
    <row r="122" spans="1:7" ht="15.75" customHeight="1" x14ac:dyDescent="0.25">
      <c r="A122" s="4">
        <v>121</v>
      </c>
      <c r="B122" s="5">
        <f t="shared" si="3"/>
        <v>45117</v>
      </c>
      <c r="C122" s="8">
        <v>36.260000000000005</v>
      </c>
      <c r="D122">
        <v>26.8</v>
      </c>
      <c r="E122">
        <v>46.2</v>
      </c>
      <c r="F122">
        <v>9.0500000000000007</v>
      </c>
      <c r="G122">
        <v>166</v>
      </c>
    </row>
    <row r="123" spans="1:7" ht="15.75" customHeight="1" x14ac:dyDescent="0.25">
      <c r="A123" s="4">
        <v>122</v>
      </c>
      <c r="B123" s="5">
        <f t="shared" si="3"/>
        <v>45118</v>
      </c>
      <c r="C123" s="8">
        <v>7.76</v>
      </c>
      <c r="D123">
        <v>21.7</v>
      </c>
      <c r="E123">
        <v>50.4</v>
      </c>
      <c r="F123">
        <v>12.57</v>
      </c>
      <c r="G123">
        <v>122</v>
      </c>
    </row>
    <row r="124" spans="1:7" ht="15.75" customHeight="1" x14ac:dyDescent="0.25">
      <c r="A124" s="4">
        <v>123</v>
      </c>
      <c r="B124" s="5">
        <f t="shared" si="3"/>
        <v>45119</v>
      </c>
      <c r="C124" s="8">
        <v>45.8</v>
      </c>
      <c r="D124">
        <v>2.4</v>
      </c>
      <c r="E124">
        <v>15.6</v>
      </c>
      <c r="F124">
        <v>17.36</v>
      </c>
      <c r="G124">
        <v>235</v>
      </c>
    </row>
    <row r="125" spans="1:7" ht="15.75" customHeight="1" x14ac:dyDescent="0.25">
      <c r="A125" s="4">
        <v>124</v>
      </c>
      <c r="B125" s="5">
        <f t="shared" si="3"/>
        <v>45120</v>
      </c>
      <c r="C125" s="8">
        <v>33.619999999999997</v>
      </c>
      <c r="D125">
        <v>34.6</v>
      </c>
      <c r="E125">
        <v>12.4</v>
      </c>
      <c r="F125">
        <v>24.65</v>
      </c>
      <c r="G125">
        <v>139</v>
      </c>
    </row>
    <row r="126" spans="1:7" ht="15.75" customHeight="1" x14ac:dyDescent="0.25">
      <c r="A126" s="4">
        <v>125</v>
      </c>
      <c r="B126" s="5">
        <f t="shared" si="3"/>
        <v>45121</v>
      </c>
      <c r="C126" s="8">
        <v>51.9</v>
      </c>
      <c r="D126">
        <v>32.299999999999997</v>
      </c>
      <c r="E126">
        <v>74.2</v>
      </c>
      <c r="F126">
        <v>9.419999999999991</v>
      </c>
      <c r="G126">
        <v>159</v>
      </c>
    </row>
    <row r="127" spans="1:7" ht="15.75" customHeight="1" x14ac:dyDescent="0.25">
      <c r="A127" s="4">
        <v>126</v>
      </c>
      <c r="B127" s="5">
        <f t="shared" si="3"/>
        <v>45122</v>
      </c>
      <c r="C127" s="8">
        <v>18.440000000000001</v>
      </c>
      <c r="D127">
        <v>11.8</v>
      </c>
      <c r="E127">
        <v>25.9</v>
      </c>
      <c r="F127">
        <v>4.2600000000000016</v>
      </c>
      <c r="G127">
        <v>191</v>
      </c>
    </row>
    <row r="128" spans="1:7" ht="15.75" customHeight="1" x14ac:dyDescent="0.25">
      <c r="A128" s="4">
        <v>127</v>
      </c>
      <c r="B128" s="5">
        <f t="shared" si="3"/>
        <v>45123</v>
      </c>
      <c r="C128" s="8">
        <v>8.56</v>
      </c>
      <c r="D128">
        <v>38.9</v>
      </c>
      <c r="E128">
        <v>50.6</v>
      </c>
      <c r="F128">
        <v>19.989999999999998</v>
      </c>
      <c r="G128">
        <v>196</v>
      </c>
    </row>
    <row r="129" spans="1:7" ht="15.75" customHeight="1" x14ac:dyDescent="0.25">
      <c r="A129" s="4">
        <v>128</v>
      </c>
      <c r="B129" s="5">
        <f t="shared" si="3"/>
        <v>45124</v>
      </c>
      <c r="C129" s="8">
        <v>71.06</v>
      </c>
      <c r="D129">
        <v>23.6</v>
      </c>
      <c r="E129">
        <v>9.1999999999999993</v>
      </c>
      <c r="F129">
        <v>31.35</v>
      </c>
      <c r="G129">
        <v>167</v>
      </c>
    </row>
    <row r="130" spans="1:7" ht="15.75" customHeight="1" x14ac:dyDescent="0.25">
      <c r="A130" s="4">
        <v>129</v>
      </c>
      <c r="B130" s="5">
        <f t="shared" si="3"/>
        <v>45125</v>
      </c>
      <c r="C130" s="8">
        <v>54.06</v>
      </c>
      <c r="D130">
        <v>49</v>
      </c>
      <c r="E130">
        <v>3.2</v>
      </c>
      <c r="F130">
        <v>41.756249999999994</v>
      </c>
      <c r="G130">
        <v>185</v>
      </c>
    </row>
    <row r="131" spans="1:7" ht="15.75" customHeight="1" x14ac:dyDescent="0.25">
      <c r="A131" s="4">
        <v>130</v>
      </c>
      <c r="B131" s="5">
        <f t="shared" si="3"/>
        <v>45126</v>
      </c>
      <c r="C131" s="8">
        <v>18.920000000000002</v>
      </c>
      <c r="D131">
        <v>12</v>
      </c>
      <c r="E131">
        <v>43.1</v>
      </c>
      <c r="F131">
        <v>14.719999999999999</v>
      </c>
      <c r="G131">
        <v>179</v>
      </c>
    </row>
    <row r="132" spans="1:7" ht="15.75" customHeight="1" x14ac:dyDescent="0.25">
      <c r="A132" s="4">
        <v>131</v>
      </c>
      <c r="B132" s="5">
        <f t="shared" si="3"/>
        <v>45127</v>
      </c>
      <c r="C132" s="8">
        <v>6</v>
      </c>
      <c r="D132">
        <v>39.6</v>
      </c>
      <c r="E132">
        <v>8.6999999999999993</v>
      </c>
      <c r="F132">
        <v>41.756249999999994</v>
      </c>
      <c r="G132">
        <v>223</v>
      </c>
    </row>
    <row r="133" spans="1:7" ht="15.75" customHeight="1" x14ac:dyDescent="0.25">
      <c r="A133" s="4">
        <v>132</v>
      </c>
      <c r="B133" s="5">
        <f t="shared" si="3"/>
        <v>45128</v>
      </c>
      <c r="C133" s="8">
        <v>55.04</v>
      </c>
      <c r="D133">
        <v>2.9</v>
      </c>
      <c r="E133">
        <v>43</v>
      </c>
      <c r="F133">
        <v>10.77</v>
      </c>
      <c r="G133">
        <v>125</v>
      </c>
    </row>
    <row r="134" spans="1:7" ht="15.75" customHeight="1" x14ac:dyDescent="0.25">
      <c r="A134" s="4">
        <v>133</v>
      </c>
      <c r="B134" s="5">
        <f t="shared" si="3"/>
        <v>45129</v>
      </c>
      <c r="C134" s="8">
        <v>5.68</v>
      </c>
      <c r="D134">
        <v>27.2</v>
      </c>
      <c r="E134">
        <v>2.1</v>
      </c>
      <c r="F134">
        <v>13.6</v>
      </c>
      <c r="G134">
        <v>174</v>
      </c>
    </row>
    <row r="135" spans="1:7" ht="15.75" customHeight="1" x14ac:dyDescent="0.25">
      <c r="A135" s="4">
        <v>134</v>
      </c>
      <c r="B135" s="5">
        <f>B136</f>
        <v>45130</v>
      </c>
      <c r="C135" s="8">
        <v>45.96</v>
      </c>
      <c r="D135">
        <v>33.5</v>
      </c>
      <c r="E135">
        <v>45.1</v>
      </c>
      <c r="F135">
        <v>20.69</v>
      </c>
      <c r="G135">
        <v>228</v>
      </c>
    </row>
    <row r="136" spans="1:7" ht="15.75" customHeight="1" x14ac:dyDescent="0.25">
      <c r="A136" s="4">
        <v>135</v>
      </c>
      <c r="B136" s="5">
        <f t="shared" ref="B136:B167" si="4">+B137-1</f>
        <v>45130</v>
      </c>
      <c r="C136" s="8">
        <v>14.379999999999999</v>
      </c>
      <c r="D136">
        <v>38.6</v>
      </c>
      <c r="E136">
        <v>65.599999999999994</v>
      </c>
      <c r="F136">
        <v>16.750000000000004</v>
      </c>
      <c r="G136">
        <v>137</v>
      </c>
    </row>
    <row r="137" spans="1:7" ht="15.75" customHeight="1" x14ac:dyDescent="0.25">
      <c r="A137" s="4">
        <v>136</v>
      </c>
      <c r="B137" s="5">
        <f t="shared" si="4"/>
        <v>45131</v>
      </c>
      <c r="C137" s="8">
        <v>14.66</v>
      </c>
      <c r="D137">
        <v>47</v>
      </c>
      <c r="E137">
        <v>8.5</v>
      </c>
      <c r="F137">
        <v>24.93</v>
      </c>
      <c r="G137">
        <v>149</v>
      </c>
    </row>
    <row r="138" spans="1:7" ht="15.75" customHeight="1" x14ac:dyDescent="0.25">
      <c r="A138" s="4">
        <v>137</v>
      </c>
      <c r="B138" s="5">
        <f t="shared" si="4"/>
        <v>45132</v>
      </c>
      <c r="C138" s="8">
        <v>10.120000000000001</v>
      </c>
      <c r="D138">
        <v>39</v>
      </c>
      <c r="E138">
        <v>9.3000000000000007</v>
      </c>
      <c r="F138">
        <v>18.339999999999996</v>
      </c>
      <c r="G138">
        <v>132</v>
      </c>
    </row>
    <row r="139" spans="1:7" ht="15.75" customHeight="1" x14ac:dyDescent="0.25">
      <c r="A139" s="4">
        <v>138</v>
      </c>
      <c r="B139" s="5">
        <f t="shared" si="4"/>
        <v>45133</v>
      </c>
      <c r="C139" s="8">
        <v>58.739999999999995</v>
      </c>
      <c r="D139">
        <v>28.9</v>
      </c>
      <c r="E139">
        <v>59.7</v>
      </c>
      <c r="F139">
        <v>17.939999999999991</v>
      </c>
      <c r="G139">
        <v>188</v>
      </c>
    </row>
    <row r="140" spans="1:7" ht="15.75" customHeight="1" x14ac:dyDescent="0.25">
      <c r="A140" s="4">
        <v>139</v>
      </c>
      <c r="B140" s="5">
        <f t="shared" si="4"/>
        <v>45134</v>
      </c>
      <c r="C140" s="8">
        <v>9.6</v>
      </c>
      <c r="D140">
        <v>25.9</v>
      </c>
      <c r="E140">
        <v>20.5</v>
      </c>
      <c r="F140">
        <v>9.0499999999999989</v>
      </c>
      <c r="G140">
        <v>294</v>
      </c>
    </row>
    <row r="141" spans="1:7" ht="15.75" customHeight="1" x14ac:dyDescent="0.25">
      <c r="A141" s="4">
        <v>140</v>
      </c>
      <c r="B141" s="5">
        <f t="shared" si="4"/>
        <v>45135</v>
      </c>
      <c r="C141" s="8">
        <v>18.920000000000002</v>
      </c>
      <c r="D141">
        <v>43.9</v>
      </c>
      <c r="E141">
        <v>1.7</v>
      </c>
      <c r="F141">
        <v>39.76</v>
      </c>
      <c r="G141">
        <v>129</v>
      </c>
    </row>
    <row r="142" spans="1:7" ht="15.75" customHeight="1" x14ac:dyDescent="0.25">
      <c r="A142" s="4">
        <v>141</v>
      </c>
      <c r="B142" s="5">
        <f t="shared" si="4"/>
        <v>45136</v>
      </c>
      <c r="C142" s="8">
        <v>21</v>
      </c>
      <c r="D142">
        <v>17</v>
      </c>
      <c r="E142">
        <v>12.9</v>
      </c>
      <c r="F142">
        <v>10.68</v>
      </c>
      <c r="G142">
        <v>229</v>
      </c>
    </row>
    <row r="143" spans="1:7" ht="15.75" customHeight="1" x14ac:dyDescent="0.25">
      <c r="A143" s="4">
        <v>142</v>
      </c>
      <c r="B143" s="5">
        <f t="shared" si="4"/>
        <v>45137</v>
      </c>
      <c r="C143" s="8">
        <v>49</v>
      </c>
      <c r="D143">
        <v>35.4</v>
      </c>
      <c r="E143">
        <v>75.599999999999994</v>
      </c>
      <c r="F143">
        <v>6.8299999999999947</v>
      </c>
      <c r="G143">
        <v>127</v>
      </c>
    </row>
    <row r="144" spans="1:7" ht="15.75" customHeight="1" x14ac:dyDescent="0.25">
      <c r="A144" s="4">
        <v>143</v>
      </c>
      <c r="B144" s="5">
        <f t="shared" si="4"/>
        <v>45138</v>
      </c>
      <c r="C144" s="8">
        <v>50.1</v>
      </c>
      <c r="D144">
        <v>33.200000000000003</v>
      </c>
      <c r="E144">
        <v>37.9</v>
      </c>
      <c r="F144">
        <v>23.490000000000006</v>
      </c>
      <c r="G144">
        <v>207</v>
      </c>
    </row>
    <row r="145" spans="1:7" ht="15.75" customHeight="1" x14ac:dyDescent="0.25">
      <c r="A145" s="4">
        <v>144</v>
      </c>
      <c r="B145" s="5">
        <f t="shared" si="4"/>
        <v>45139</v>
      </c>
      <c r="C145" s="8">
        <v>28.919999999999998</v>
      </c>
      <c r="D145">
        <v>5.7</v>
      </c>
      <c r="E145">
        <v>34.4</v>
      </c>
      <c r="F145">
        <v>19.549999999999997</v>
      </c>
      <c r="G145">
        <v>168</v>
      </c>
    </row>
    <row r="146" spans="1:7" ht="15.75" customHeight="1" x14ac:dyDescent="0.25">
      <c r="A146" s="4">
        <v>145</v>
      </c>
      <c r="B146" s="5">
        <f t="shared" si="4"/>
        <v>45140</v>
      </c>
      <c r="C146" s="8">
        <v>29.240000000000002</v>
      </c>
      <c r="D146">
        <v>14.8</v>
      </c>
      <c r="E146">
        <v>38.9</v>
      </c>
      <c r="F146">
        <v>1.4600000000000026</v>
      </c>
      <c r="G146">
        <v>239</v>
      </c>
    </row>
    <row r="147" spans="1:7" ht="15.75" customHeight="1" x14ac:dyDescent="0.25">
      <c r="A147" s="4">
        <v>146</v>
      </c>
      <c r="B147" s="5">
        <f t="shared" si="4"/>
        <v>45141</v>
      </c>
      <c r="C147" s="8">
        <v>31.060000000000002</v>
      </c>
      <c r="D147">
        <v>1.9</v>
      </c>
      <c r="E147">
        <v>9</v>
      </c>
      <c r="F147">
        <v>11.38</v>
      </c>
      <c r="G147">
        <v>175</v>
      </c>
    </row>
    <row r="148" spans="1:7" ht="15.75" customHeight="1" x14ac:dyDescent="0.25">
      <c r="A148" s="4">
        <v>147</v>
      </c>
      <c r="B148" s="5">
        <f t="shared" si="4"/>
        <v>45142</v>
      </c>
      <c r="C148" s="8">
        <v>55.019999999999996</v>
      </c>
      <c r="D148">
        <v>7.3</v>
      </c>
      <c r="E148">
        <v>8.6999999999999993</v>
      </c>
      <c r="F148">
        <v>24.179999999999996</v>
      </c>
      <c r="G148">
        <v>218</v>
      </c>
    </row>
    <row r="149" spans="1:7" ht="15.75" customHeight="1" x14ac:dyDescent="0.25">
      <c r="A149" s="4">
        <v>148</v>
      </c>
      <c r="B149" s="5">
        <f t="shared" si="4"/>
        <v>45143</v>
      </c>
      <c r="C149" s="8">
        <v>50.64</v>
      </c>
      <c r="D149">
        <v>49</v>
      </c>
      <c r="E149">
        <v>44.3</v>
      </c>
      <c r="F149">
        <v>31.1</v>
      </c>
      <c r="G149">
        <v>186</v>
      </c>
    </row>
    <row r="150" spans="1:7" ht="15.75" customHeight="1" x14ac:dyDescent="0.25">
      <c r="A150" s="4">
        <v>149</v>
      </c>
      <c r="B150" s="5">
        <f t="shared" si="4"/>
        <v>45144</v>
      </c>
      <c r="C150" s="8">
        <v>15.6</v>
      </c>
      <c r="D150">
        <v>40.299999999999997</v>
      </c>
      <c r="E150">
        <v>11.9</v>
      </c>
      <c r="F150">
        <v>19.189999999999998</v>
      </c>
      <c r="G150">
        <v>265</v>
      </c>
    </row>
    <row r="151" spans="1:7" ht="15.75" customHeight="1" x14ac:dyDescent="0.25">
      <c r="A151" s="4">
        <v>150</v>
      </c>
      <c r="B151" s="5">
        <f t="shared" si="4"/>
        <v>45145</v>
      </c>
      <c r="C151" s="8">
        <v>196.98</v>
      </c>
      <c r="D151">
        <v>25.8</v>
      </c>
      <c r="E151">
        <v>20.6</v>
      </c>
      <c r="F151">
        <v>9.1300000000000008</v>
      </c>
      <c r="G151">
        <v>187</v>
      </c>
    </row>
    <row r="152" spans="1:7" ht="15.75" customHeight="1" x14ac:dyDescent="0.25">
      <c r="A152" s="4">
        <v>151</v>
      </c>
      <c r="B152" s="5">
        <f t="shared" si="4"/>
        <v>45146</v>
      </c>
      <c r="C152" s="8">
        <v>66.14</v>
      </c>
      <c r="D152">
        <v>13.9</v>
      </c>
      <c r="E152">
        <v>37</v>
      </c>
      <c r="F152">
        <v>20.220000000000002</v>
      </c>
      <c r="G152">
        <v>151.5</v>
      </c>
    </row>
    <row r="153" spans="1:7" ht="15.75" customHeight="1" x14ac:dyDescent="0.25">
      <c r="A153" s="4">
        <v>152</v>
      </c>
      <c r="B153" s="5">
        <f t="shared" si="4"/>
        <v>45147</v>
      </c>
      <c r="C153" s="8">
        <v>31.2</v>
      </c>
      <c r="D153">
        <v>8.4</v>
      </c>
      <c r="E153">
        <v>48.7</v>
      </c>
      <c r="F153">
        <v>16.819999999999997</v>
      </c>
      <c r="G153">
        <v>149</v>
      </c>
    </row>
    <row r="154" spans="1:7" ht="15.75" customHeight="1" x14ac:dyDescent="0.25">
      <c r="A154" s="4">
        <v>153</v>
      </c>
      <c r="B154" s="5">
        <f t="shared" si="4"/>
        <v>45148</v>
      </c>
      <c r="C154" s="8">
        <v>40.519999999999996</v>
      </c>
      <c r="D154">
        <v>23.3</v>
      </c>
      <c r="E154">
        <v>14.2</v>
      </c>
      <c r="F154">
        <v>25.729999999999997</v>
      </c>
      <c r="G154">
        <v>137</v>
      </c>
    </row>
    <row r="155" spans="1:7" ht="15.75" customHeight="1" x14ac:dyDescent="0.25">
      <c r="A155" s="4">
        <v>154</v>
      </c>
      <c r="B155" s="5">
        <f t="shared" si="4"/>
        <v>45149</v>
      </c>
      <c r="C155" s="8">
        <v>37.260000000000005</v>
      </c>
      <c r="D155">
        <v>39.700000000000003</v>
      </c>
      <c r="E155">
        <v>37.700000000000003</v>
      </c>
      <c r="F155">
        <v>21.900000000000002</v>
      </c>
      <c r="G155">
        <v>196</v>
      </c>
    </row>
    <row r="156" spans="1:7" ht="15.75" customHeight="1" x14ac:dyDescent="0.25">
      <c r="A156" s="4">
        <v>155</v>
      </c>
      <c r="B156" s="5">
        <f t="shared" si="4"/>
        <v>45150</v>
      </c>
      <c r="C156" s="8">
        <v>43.56</v>
      </c>
      <c r="D156">
        <v>21.1</v>
      </c>
      <c r="E156">
        <v>9.5</v>
      </c>
      <c r="F156">
        <v>25.53</v>
      </c>
      <c r="G156">
        <v>201</v>
      </c>
    </row>
    <row r="157" spans="1:7" ht="15.75" customHeight="1" x14ac:dyDescent="0.25">
      <c r="A157" s="4">
        <v>156</v>
      </c>
      <c r="B157" s="5">
        <f t="shared" si="4"/>
        <v>45151</v>
      </c>
      <c r="C157" s="8">
        <v>9.82</v>
      </c>
      <c r="D157">
        <v>11.6</v>
      </c>
      <c r="E157">
        <v>5.7</v>
      </c>
      <c r="F157">
        <v>41.756249999999994</v>
      </c>
      <c r="G157">
        <v>139</v>
      </c>
    </row>
    <row r="158" spans="1:7" ht="15.75" customHeight="1" x14ac:dyDescent="0.25">
      <c r="A158" s="4">
        <v>157</v>
      </c>
      <c r="B158" s="5">
        <f t="shared" si="4"/>
        <v>45152</v>
      </c>
      <c r="C158" s="8">
        <v>25.78</v>
      </c>
      <c r="D158">
        <v>43.5</v>
      </c>
      <c r="E158">
        <v>50.5</v>
      </c>
      <c r="F158">
        <v>10.939999999999998</v>
      </c>
      <c r="G158">
        <v>124</v>
      </c>
    </row>
    <row r="159" spans="1:7" ht="15.75" customHeight="1" x14ac:dyDescent="0.25">
      <c r="A159" s="4">
        <v>158</v>
      </c>
      <c r="B159" s="5">
        <f t="shared" si="4"/>
        <v>45153</v>
      </c>
      <c r="C159" s="8">
        <v>39.96</v>
      </c>
      <c r="D159">
        <v>1.3</v>
      </c>
      <c r="E159">
        <v>24.3</v>
      </c>
      <c r="F159">
        <v>5.91</v>
      </c>
      <c r="G159">
        <v>199</v>
      </c>
    </row>
    <row r="160" spans="1:7" ht="15.75" customHeight="1" x14ac:dyDescent="0.25">
      <c r="A160" s="4">
        <v>159</v>
      </c>
      <c r="B160" s="5">
        <f t="shared" si="4"/>
        <v>45154</v>
      </c>
      <c r="C160" s="8">
        <v>12.34</v>
      </c>
      <c r="D160">
        <v>36.9</v>
      </c>
      <c r="E160">
        <v>45.2</v>
      </c>
      <c r="F160">
        <v>1.5399999999999956</v>
      </c>
      <c r="G160">
        <v>245</v>
      </c>
    </row>
    <row r="161" spans="1:7" ht="15.75" customHeight="1" x14ac:dyDescent="0.25">
      <c r="A161" s="4">
        <v>160</v>
      </c>
      <c r="B161" s="5">
        <f t="shared" si="4"/>
        <v>45155</v>
      </c>
      <c r="C161" s="8">
        <v>32.339999999999996</v>
      </c>
      <c r="D161">
        <v>18.399999999999999</v>
      </c>
      <c r="E161">
        <v>34.6</v>
      </c>
      <c r="F161">
        <v>8.5299999999999958</v>
      </c>
      <c r="G161">
        <v>183</v>
      </c>
    </row>
    <row r="162" spans="1:7" ht="15.75" customHeight="1" x14ac:dyDescent="0.25">
      <c r="A162" s="4">
        <v>161</v>
      </c>
      <c r="B162" s="5">
        <f t="shared" si="4"/>
        <v>45156</v>
      </c>
      <c r="C162" s="8">
        <v>44.5</v>
      </c>
      <c r="D162">
        <v>18.100000000000001</v>
      </c>
      <c r="E162">
        <v>30.7</v>
      </c>
      <c r="F162">
        <v>14.02</v>
      </c>
      <c r="G162">
        <v>127</v>
      </c>
    </row>
    <row r="163" spans="1:7" ht="15.75" customHeight="1" x14ac:dyDescent="0.25">
      <c r="A163" s="4">
        <v>162</v>
      </c>
      <c r="B163" s="5">
        <f t="shared" si="4"/>
        <v>45157</v>
      </c>
      <c r="C163" s="8">
        <v>19.14</v>
      </c>
      <c r="D163">
        <v>35.799999999999997</v>
      </c>
      <c r="E163">
        <v>49.3</v>
      </c>
      <c r="F163">
        <v>6.75</v>
      </c>
      <c r="G163">
        <v>230</v>
      </c>
    </row>
    <row r="164" spans="1:7" ht="15.75" customHeight="1" x14ac:dyDescent="0.25">
      <c r="A164" s="4">
        <v>163</v>
      </c>
      <c r="B164" s="5">
        <f t="shared" si="4"/>
        <v>45158</v>
      </c>
      <c r="C164" s="8">
        <v>42.68</v>
      </c>
      <c r="D164">
        <v>23.6</v>
      </c>
      <c r="E164">
        <v>25.9</v>
      </c>
      <c r="F164">
        <v>17.649999999999999</v>
      </c>
      <c r="G164">
        <v>170</v>
      </c>
    </row>
    <row r="165" spans="1:7" ht="15.75" customHeight="1" x14ac:dyDescent="0.25">
      <c r="A165" s="4">
        <v>164</v>
      </c>
      <c r="B165" s="5">
        <f t="shared" si="4"/>
        <v>45159</v>
      </c>
      <c r="C165" s="8">
        <v>33.700000000000003</v>
      </c>
      <c r="D165">
        <v>36.799999999999997</v>
      </c>
      <c r="E165">
        <v>7.4</v>
      </c>
      <c r="F165">
        <v>31.79</v>
      </c>
      <c r="G165">
        <v>264</v>
      </c>
    </row>
    <row r="166" spans="1:7" ht="15.75" customHeight="1" x14ac:dyDescent="0.25">
      <c r="A166" s="4">
        <v>165</v>
      </c>
      <c r="B166" s="5">
        <f t="shared" si="4"/>
        <v>45160</v>
      </c>
      <c r="C166" s="8">
        <v>28.44</v>
      </c>
      <c r="D166">
        <v>14.7</v>
      </c>
      <c r="E166">
        <v>5.4</v>
      </c>
      <c r="F166">
        <v>16.91</v>
      </c>
      <c r="G166">
        <v>150</v>
      </c>
    </row>
    <row r="167" spans="1:7" ht="15.75" customHeight="1" x14ac:dyDescent="0.25">
      <c r="A167" s="4">
        <v>166</v>
      </c>
      <c r="B167" s="5">
        <f t="shared" si="4"/>
        <v>45161</v>
      </c>
      <c r="C167" s="8">
        <v>56.9</v>
      </c>
      <c r="D167">
        <v>3.4</v>
      </c>
      <c r="E167">
        <v>84.8</v>
      </c>
      <c r="F167">
        <v>11.229999999999997</v>
      </c>
      <c r="G167">
        <v>208</v>
      </c>
    </row>
    <row r="168" spans="1:7" ht="15.75" customHeight="1" x14ac:dyDescent="0.25">
      <c r="A168" s="4">
        <v>167</v>
      </c>
      <c r="B168" s="5">
        <f t="shared" ref="B168:B200" si="5">+B169-1</f>
        <v>45162</v>
      </c>
      <c r="C168" s="8">
        <v>11.58</v>
      </c>
      <c r="D168">
        <v>37.6</v>
      </c>
      <c r="E168">
        <v>21.6</v>
      </c>
      <c r="F168">
        <v>11.95</v>
      </c>
      <c r="G168">
        <v>142</v>
      </c>
    </row>
    <row r="169" spans="1:7" ht="15.75" customHeight="1" x14ac:dyDescent="0.25">
      <c r="A169" s="4">
        <v>168</v>
      </c>
      <c r="B169" s="5">
        <f t="shared" si="5"/>
        <v>45163</v>
      </c>
      <c r="C169" s="8">
        <v>48.36</v>
      </c>
      <c r="D169">
        <v>5.2</v>
      </c>
      <c r="E169">
        <v>19.399999999999999</v>
      </c>
      <c r="F169">
        <v>15.520000000000001</v>
      </c>
      <c r="G169">
        <v>147</v>
      </c>
    </row>
    <row r="170" spans="1:7" ht="15.75" customHeight="1" x14ac:dyDescent="0.25">
      <c r="A170" s="4">
        <v>169</v>
      </c>
      <c r="B170" s="5">
        <f t="shared" si="5"/>
        <v>45164</v>
      </c>
      <c r="C170" s="8">
        <v>45.08</v>
      </c>
      <c r="D170">
        <v>23.6</v>
      </c>
      <c r="E170">
        <v>57.6</v>
      </c>
      <c r="F170">
        <v>10.3</v>
      </c>
      <c r="G170">
        <v>221</v>
      </c>
    </row>
    <row r="171" spans="1:7" ht="15.75" customHeight="1" x14ac:dyDescent="0.25">
      <c r="A171" s="4">
        <v>170</v>
      </c>
      <c r="B171" s="5">
        <f t="shared" si="5"/>
        <v>45165</v>
      </c>
      <c r="C171" s="8">
        <v>60.86</v>
      </c>
      <c r="D171">
        <v>10.6</v>
      </c>
      <c r="E171">
        <v>6.4</v>
      </c>
      <c r="F171">
        <v>31.169999999999995</v>
      </c>
      <c r="G171">
        <v>236</v>
      </c>
    </row>
    <row r="172" spans="1:7" ht="15.75" customHeight="1" x14ac:dyDescent="0.25">
      <c r="A172" s="4">
        <v>171</v>
      </c>
      <c r="B172" s="5">
        <f t="shared" si="5"/>
        <v>45166</v>
      </c>
      <c r="C172" s="8">
        <v>12</v>
      </c>
      <c r="D172">
        <v>11.6</v>
      </c>
      <c r="E172">
        <v>18.399999999999999</v>
      </c>
      <c r="F172">
        <v>3.4400000000000013</v>
      </c>
      <c r="G172">
        <v>225</v>
      </c>
    </row>
    <row r="173" spans="1:7" ht="15.75" customHeight="1" x14ac:dyDescent="0.25">
      <c r="A173" s="4">
        <v>172</v>
      </c>
      <c r="B173" s="5">
        <f t="shared" si="5"/>
        <v>45167</v>
      </c>
      <c r="C173" s="8">
        <v>42.9</v>
      </c>
      <c r="D173">
        <v>20.9</v>
      </c>
      <c r="E173">
        <v>47.4</v>
      </c>
      <c r="F173">
        <v>7.9399999999999977</v>
      </c>
      <c r="G173">
        <v>256</v>
      </c>
    </row>
    <row r="174" spans="1:7" ht="15.75" customHeight="1" x14ac:dyDescent="0.25">
      <c r="A174" s="4">
        <v>173</v>
      </c>
      <c r="B174" s="5">
        <f t="shared" si="5"/>
        <v>45168</v>
      </c>
      <c r="C174" s="8">
        <v>9.92</v>
      </c>
      <c r="D174">
        <v>20.100000000000001</v>
      </c>
      <c r="E174">
        <v>17</v>
      </c>
      <c r="F174">
        <v>5.2100000000000009</v>
      </c>
      <c r="G174">
        <v>131</v>
      </c>
    </row>
    <row r="175" spans="1:7" ht="15.75" customHeight="1" x14ac:dyDescent="0.25">
      <c r="A175" s="4">
        <v>174</v>
      </c>
      <c r="B175" s="5">
        <f t="shared" si="5"/>
        <v>45169</v>
      </c>
      <c r="C175" s="8">
        <v>36.68</v>
      </c>
      <c r="D175">
        <v>7.1</v>
      </c>
      <c r="E175">
        <v>12.8</v>
      </c>
      <c r="F175">
        <v>15.27</v>
      </c>
      <c r="G175">
        <v>235.5</v>
      </c>
    </row>
    <row r="176" spans="1:7" ht="15.75" customHeight="1" x14ac:dyDescent="0.25">
      <c r="A176" s="4">
        <v>175</v>
      </c>
      <c r="B176" s="5">
        <f t="shared" si="5"/>
        <v>45170</v>
      </c>
      <c r="C176" s="8">
        <v>53.480000000000004</v>
      </c>
      <c r="D176">
        <v>3.4</v>
      </c>
      <c r="E176">
        <v>13.1</v>
      </c>
      <c r="F176">
        <v>18.700000000000003</v>
      </c>
      <c r="G176">
        <v>216</v>
      </c>
    </row>
    <row r="177" spans="1:7" ht="15.75" customHeight="1" x14ac:dyDescent="0.25">
      <c r="A177" s="4">
        <v>176</v>
      </c>
      <c r="B177" s="5">
        <f t="shared" si="5"/>
        <v>45171</v>
      </c>
      <c r="C177" s="8">
        <v>64.38</v>
      </c>
      <c r="D177">
        <v>48.9</v>
      </c>
      <c r="E177">
        <v>41.8</v>
      </c>
      <c r="F177">
        <v>35.42</v>
      </c>
      <c r="G177">
        <v>210</v>
      </c>
    </row>
    <row r="178" spans="1:7" ht="15.75" customHeight="1" x14ac:dyDescent="0.25">
      <c r="A178" s="4">
        <v>177</v>
      </c>
      <c r="B178" s="5">
        <f t="shared" si="5"/>
        <v>45172</v>
      </c>
      <c r="C178" s="8">
        <v>58.68</v>
      </c>
      <c r="D178">
        <v>30.2</v>
      </c>
      <c r="E178">
        <v>20.3</v>
      </c>
      <c r="F178">
        <v>31.819999999999997</v>
      </c>
      <c r="G178">
        <v>188</v>
      </c>
    </row>
    <row r="179" spans="1:7" ht="15.75" customHeight="1" x14ac:dyDescent="0.25">
      <c r="A179" s="4">
        <v>178</v>
      </c>
      <c r="B179" s="5">
        <f t="shared" si="5"/>
        <v>45173</v>
      </c>
      <c r="C179" s="8">
        <v>40.04</v>
      </c>
      <c r="D179">
        <v>7.8</v>
      </c>
      <c r="E179">
        <v>35.200000000000003</v>
      </c>
      <c r="F179">
        <v>41.756249999999994</v>
      </c>
      <c r="G179">
        <v>167</v>
      </c>
    </row>
    <row r="180" spans="1:7" ht="15.75" customHeight="1" x14ac:dyDescent="0.25">
      <c r="A180" s="4">
        <v>179</v>
      </c>
      <c r="B180" s="5">
        <f t="shared" si="5"/>
        <v>45174</v>
      </c>
      <c r="C180" s="8">
        <v>63.339999999999996</v>
      </c>
      <c r="D180">
        <v>2.2999999999999998</v>
      </c>
      <c r="E180">
        <v>23.7</v>
      </c>
      <c r="F180">
        <v>19.339999999999996</v>
      </c>
      <c r="G180">
        <v>139</v>
      </c>
    </row>
    <row r="181" spans="1:7" ht="15.75" customHeight="1" x14ac:dyDescent="0.25">
      <c r="A181" s="4">
        <v>180</v>
      </c>
      <c r="B181" s="5">
        <f t="shared" si="5"/>
        <v>45175</v>
      </c>
      <c r="C181" s="8">
        <v>41.12</v>
      </c>
      <c r="D181">
        <v>10</v>
      </c>
      <c r="E181">
        <v>17.600000000000001</v>
      </c>
      <c r="F181">
        <v>14.519999999999998</v>
      </c>
      <c r="G181">
        <v>231</v>
      </c>
    </row>
    <row r="182" spans="1:7" ht="15.75" customHeight="1" x14ac:dyDescent="0.25">
      <c r="A182" s="4">
        <v>181</v>
      </c>
      <c r="B182" s="5">
        <f t="shared" si="5"/>
        <v>45176</v>
      </c>
      <c r="C182" s="8">
        <v>36.32</v>
      </c>
      <c r="D182">
        <v>2.6</v>
      </c>
      <c r="E182">
        <v>8.3000000000000007</v>
      </c>
      <c r="F182">
        <v>13.64</v>
      </c>
      <c r="G182">
        <v>162</v>
      </c>
    </row>
    <row r="183" spans="1:7" ht="15.75" customHeight="1" x14ac:dyDescent="0.25">
      <c r="A183" s="4">
        <v>182</v>
      </c>
      <c r="B183" s="5">
        <f t="shared" si="5"/>
        <v>45177</v>
      </c>
      <c r="C183" s="8">
        <v>52.7</v>
      </c>
      <c r="D183">
        <v>5.4</v>
      </c>
      <c r="E183">
        <v>27.4</v>
      </c>
      <c r="F183">
        <v>13.59</v>
      </c>
      <c r="G183">
        <v>184</v>
      </c>
    </row>
    <row r="184" spans="1:7" ht="15.75" customHeight="1" x14ac:dyDescent="0.25">
      <c r="A184" s="4">
        <v>183</v>
      </c>
      <c r="B184" s="5">
        <f t="shared" si="5"/>
        <v>45178</v>
      </c>
      <c r="C184" s="8">
        <v>18.240000000000002</v>
      </c>
      <c r="D184">
        <v>5.7</v>
      </c>
      <c r="E184">
        <v>29.7</v>
      </c>
      <c r="F184">
        <v>16.59</v>
      </c>
      <c r="G184">
        <v>240</v>
      </c>
    </row>
    <row r="185" spans="1:7" ht="15.75" customHeight="1" x14ac:dyDescent="0.25">
      <c r="A185" s="4">
        <v>184</v>
      </c>
      <c r="B185" s="5">
        <f t="shared" si="5"/>
        <v>45179</v>
      </c>
      <c r="C185" s="8">
        <v>65.52000000000001</v>
      </c>
      <c r="D185">
        <v>43</v>
      </c>
      <c r="E185">
        <v>71.8</v>
      </c>
      <c r="F185">
        <v>21.540000000000006</v>
      </c>
      <c r="G185">
        <v>129</v>
      </c>
    </row>
    <row r="186" spans="1:7" ht="15.75" customHeight="1" x14ac:dyDescent="0.25">
      <c r="A186" s="4">
        <v>185</v>
      </c>
      <c r="B186" s="5">
        <f t="shared" si="5"/>
        <v>45180</v>
      </c>
      <c r="C186" s="8">
        <v>58.760000000000005</v>
      </c>
      <c r="D186">
        <v>21.3</v>
      </c>
      <c r="E186">
        <v>30</v>
      </c>
      <c r="F186">
        <v>24.03</v>
      </c>
      <c r="G186">
        <v>258</v>
      </c>
    </row>
    <row r="187" spans="1:7" ht="15.75" customHeight="1" x14ac:dyDescent="0.25">
      <c r="A187" s="4">
        <v>186</v>
      </c>
      <c r="B187" s="5">
        <f t="shared" si="5"/>
        <v>45181</v>
      </c>
      <c r="C187" s="8">
        <v>46</v>
      </c>
      <c r="D187">
        <v>45.1</v>
      </c>
      <c r="E187">
        <v>19.600000000000001</v>
      </c>
      <c r="F187">
        <v>35.209999999999994</v>
      </c>
      <c r="G187">
        <v>220</v>
      </c>
    </row>
    <row r="188" spans="1:7" ht="15.75" customHeight="1" x14ac:dyDescent="0.25">
      <c r="A188" s="4">
        <v>187</v>
      </c>
      <c r="B188" s="5">
        <f t="shared" si="5"/>
        <v>45182</v>
      </c>
      <c r="C188" s="8">
        <v>35.9</v>
      </c>
      <c r="D188">
        <v>2.1</v>
      </c>
      <c r="E188">
        <v>26.6</v>
      </c>
      <c r="F188">
        <v>4.3599999999999994</v>
      </c>
      <c r="G188">
        <v>254</v>
      </c>
    </row>
    <row r="189" spans="1:7" ht="15.75" customHeight="1" x14ac:dyDescent="0.25">
      <c r="A189" s="4">
        <v>188</v>
      </c>
      <c r="B189" s="5">
        <f t="shared" si="5"/>
        <v>45183</v>
      </c>
      <c r="C189" s="8">
        <v>41.22</v>
      </c>
      <c r="D189">
        <v>28.7</v>
      </c>
      <c r="E189">
        <v>18.2</v>
      </c>
      <c r="F189">
        <v>26.18</v>
      </c>
      <c r="G189">
        <v>131</v>
      </c>
    </row>
    <row r="190" spans="1:7" ht="15.75" customHeight="1" x14ac:dyDescent="0.25">
      <c r="A190" s="4">
        <v>189</v>
      </c>
      <c r="B190" s="5">
        <f t="shared" si="5"/>
        <v>45184</v>
      </c>
      <c r="C190" s="8">
        <v>59.2</v>
      </c>
      <c r="D190">
        <v>13.9</v>
      </c>
      <c r="E190">
        <v>3.7</v>
      </c>
      <c r="F190">
        <v>34.070000000000007</v>
      </c>
      <c r="G190">
        <v>158</v>
      </c>
    </row>
    <row r="191" spans="1:7" ht="15.75" customHeight="1" x14ac:dyDescent="0.25">
      <c r="A191" s="4">
        <v>190</v>
      </c>
      <c r="B191" s="5">
        <f t="shared" si="5"/>
        <v>45185</v>
      </c>
      <c r="C191" s="8">
        <v>6.74</v>
      </c>
      <c r="D191">
        <v>12.1</v>
      </c>
      <c r="E191">
        <v>23.4</v>
      </c>
      <c r="F191">
        <v>18.560000000000002</v>
      </c>
      <c r="G191">
        <v>271</v>
      </c>
    </row>
    <row r="192" spans="1:7" ht="15.75" customHeight="1" x14ac:dyDescent="0.25">
      <c r="A192" s="4">
        <v>191</v>
      </c>
      <c r="B192" s="5">
        <f t="shared" si="5"/>
        <v>45186</v>
      </c>
      <c r="C192" s="8">
        <v>15.9</v>
      </c>
      <c r="D192">
        <v>41.1</v>
      </c>
      <c r="E192">
        <v>5.8</v>
      </c>
      <c r="F192">
        <v>22.18</v>
      </c>
      <c r="G192">
        <v>257</v>
      </c>
    </row>
    <row r="193" spans="1:7" ht="15.75" customHeight="1" x14ac:dyDescent="0.25">
      <c r="A193" s="4">
        <v>192</v>
      </c>
      <c r="B193" s="5">
        <f t="shared" si="5"/>
        <v>45187</v>
      </c>
      <c r="C193" s="8">
        <v>21.1</v>
      </c>
      <c r="D193">
        <v>10.8</v>
      </c>
      <c r="E193">
        <v>6</v>
      </c>
      <c r="F193">
        <v>10.549999999999999</v>
      </c>
      <c r="G193">
        <v>272</v>
      </c>
    </row>
    <row r="194" spans="1:7" ht="15.75" customHeight="1" x14ac:dyDescent="0.25">
      <c r="A194" s="4">
        <v>193</v>
      </c>
      <c r="B194" s="5">
        <f t="shared" si="5"/>
        <v>45188</v>
      </c>
      <c r="C194" s="8">
        <v>12.44</v>
      </c>
      <c r="D194">
        <v>4.0999999999999996</v>
      </c>
      <c r="E194">
        <v>31.6</v>
      </c>
      <c r="F194">
        <v>11.129999999999999</v>
      </c>
      <c r="G194">
        <v>166</v>
      </c>
    </row>
    <row r="195" spans="1:7" ht="15.75" customHeight="1" x14ac:dyDescent="0.25">
      <c r="A195" s="4">
        <v>194</v>
      </c>
      <c r="B195" s="5">
        <f t="shared" si="5"/>
        <v>45189</v>
      </c>
      <c r="C195" s="8">
        <v>41.36</v>
      </c>
      <c r="D195">
        <v>42</v>
      </c>
      <c r="E195">
        <v>3.6</v>
      </c>
      <c r="F195">
        <v>36.24</v>
      </c>
      <c r="G195">
        <v>226</v>
      </c>
    </row>
    <row r="196" spans="1:7" ht="15.75" customHeight="1" x14ac:dyDescent="0.25">
      <c r="A196" s="4">
        <v>195</v>
      </c>
      <c r="B196" s="5">
        <f t="shared" si="5"/>
        <v>45190</v>
      </c>
      <c r="C196" s="8">
        <v>32.94</v>
      </c>
      <c r="D196">
        <v>35.6</v>
      </c>
      <c r="E196">
        <v>6</v>
      </c>
      <c r="F196">
        <v>17.100000000000001</v>
      </c>
      <c r="G196">
        <v>92</v>
      </c>
    </row>
    <row r="197" spans="1:7" ht="15.75" customHeight="1" x14ac:dyDescent="0.25">
      <c r="A197" s="4">
        <v>196</v>
      </c>
      <c r="B197" s="5">
        <f t="shared" si="5"/>
        <v>45191</v>
      </c>
      <c r="C197" s="8">
        <v>14.64</v>
      </c>
      <c r="D197">
        <v>3.7</v>
      </c>
      <c r="E197">
        <v>13.8</v>
      </c>
      <c r="F197">
        <v>0.14999999999999947</v>
      </c>
      <c r="G197">
        <v>135</v>
      </c>
    </row>
    <row r="198" spans="1:7" ht="15.75" customHeight="1" x14ac:dyDescent="0.25">
      <c r="A198" s="4">
        <v>197</v>
      </c>
      <c r="B198" s="5">
        <f t="shared" si="5"/>
        <v>45192</v>
      </c>
      <c r="C198" s="8">
        <v>27.84</v>
      </c>
      <c r="D198">
        <v>4.9000000000000004</v>
      </c>
      <c r="E198">
        <v>8.1</v>
      </c>
      <c r="F198">
        <v>8.6300000000000008</v>
      </c>
      <c r="G198">
        <v>126</v>
      </c>
    </row>
    <row r="199" spans="1:7" ht="15.75" customHeight="1" x14ac:dyDescent="0.25">
      <c r="A199" s="4">
        <v>198</v>
      </c>
      <c r="B199" s="5">
        <f t="shared" si="5"/>
        <v>45193</v>
      </c>
      <c r="C199" s="8">
        <v>44.4</v>
      </c>
      <c r="D199">
        <v>9.3000000000000007</v>
      </c>
      <c r="E199">
        <v>6.4</v>
      </c>
      <c r="F199">
        <v>19.79</v>
      </c>
      <c r="G199">
        <v>128</v>
      </c>
    </row>
    <row r="200" spans="1:7" ht="15.75" customHeight="1" x14ac:dyDescent="0.25">
      <c r="A200" s="4">
        <v>199</v>
      </c>
      <c r="B200" s="5">
        <f t="shared" si="5"/>
        <v>45194</v>
      </c>
      <c r="C200" s="8">
        <v>57.720000000000006</v>
      </c>
      <c r="D200">
        <v>42</v>
      </c>
      <c r="E200">
        <v>66.2</v>
      </c>
      <c r="F200">
        <v>22.879999999999995</v>
      </c>
      <c r="G200">
        <v>118</v>
      </c>
    </row>
    <row r="201" spans="1:7" ht="15.75" customHeight="1" x14ac:dyDescent="0.25">
      <c r="A201" s="4">
        <v>200</v>
      </c>
      <c r="B201" s="5">
        <v>45195</v>
      </c>
      <c r="C201" s="8">
        <v>52.42</v>
      </c>
      <c r="D201">
        <v>8.6</v>
      </c>
      <c r="E201">
        <v>8.6999999999999993</v>
      </c>
      <c r="F201">
        <v>1</v>
      </c>
      <c r="G201">
        <v>227</v>
      </c>
    </row>
    <row r="202" spans="1:7" ht="15.75" customHeight="1" x14ac:dyDescent="0.25"/>
    <row r="203" spans="1:7" ht="15.75" customHeight="1" x14ac:dyDescent="0.25"/>
    <row r="204" spans="1:7" ht="15.75" customHeight="1" x14ac:dyDescent="0.25"/>
    <row r="205" spans="1:7" ht="15.75" customHeight="1" x14ac:dyDescent="0.25"/>
    <row r="206" spans="1:7" ht="15.75" customHeight="1" x14ac:dyDescent="0.25"/>
    <row r="207" spans="1:7" ht="15.75" customHeight="1" x14ac:dyDescent="0.25"/>
    <row r="208" spans="1: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201" xr:uid="{5139AC16-2D3C-45FB-A690-3F035A24A844}">
    <sortState xmlns:xlrd2="http://schemas.microsoft.com/office/spreadsheetml/2017/richdata2" ref="A2:B201">
      <sortCondition ref="B1:B201"/>
    </sortState>
  </autoFilter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396E-B371-43B3-BEB6-2A2DEBE9EDDF}">
  <dimension ref="A1:L33"/>
  <sheetViews>
    <sheetView workbookViewId="0">
      <selection activeCell="M30" sqref="M30"/>
    </sheetView>
  </sheetViews>
  <sheetFormatPr defaultRowHeight="15.75" x14ac:dyDescent="0.25"/>
  <cols>
    <col min="2" max="2" width="13" customWidth="1"/>
    <col min="3" max="3" width="16.625" customWidth="1"/>
    <col min="6" max="6" width="16.125" customWidth="1"/>
    <col min="8" max="8" width="15.125" customWidth="1"/>
  </cols>
  <sheetData>
    <row r="1" spans="1:9" x14ac:dyDescent="0.25">
      <c r="A1" t="s">
        <v>35</v>
      </c>
    </row>
    <row r="2" spans="1:9" ht="16.5" thickBot="1" x14ac:dyDescent="0.3"/>
    <row r="3" spans="1:9" x14ac:dyDescent="0.25">
      <c r="A3" s="28" t="s">
        <v>36</v>
      </c>
      <c r="B3" s="28"/>
    </row>
    <row r="4" spans="1:9" x14ac:dyDescent="0.25">
      <c r="A4" s="25" t="s">
        <v>37</v>
      </c>
      <c r="B4" s="25">
        <v>0.16922537856193562</v>
      </c>
    </row>
    <row r="5" spans="1:9" x14ac:dyDescent="0.25">
      <c r="A5" s="25" t="s">
        <v>38</v>
      </c>
      <c r="B5" s="25">
        <v>2.8637228749430421E-2</v>
      </c>
    </row>
    <row r="6" spans="1:9" x14ac:dyDescent="0.25">
      <c r="A6" s="25" t="s">
        <v>39</v>
      </c>
      <c r="B6" s="25">
        <v>8.7118385699315563E-3</v>
      </c>
    </row>
    <row r="7" spans="1:9" x14ac:dyDescent="0.25">
      <c r="A7" s="25" t="s">
        <v>40</v>
      </c>
      <c r="B7" s="25">
        <v>52.92736877045418</v>
      </c>
    </row>
    <row r="8" spans="1:9" ht="16.5" thickBot="1" x14ac:dyDescent="0.3">
      <c r="A8" s="26" t="s">
        <v>41</v>
      </c>
      <c r="B8" s="26">
        <v>200</v>
      </c>
    </row>
    <row r="10" spans="1:9" ht="16.5" thickBot="1" x14ac:dyDescent="0.3">
      <c r="A10" t="s">
        <v>42</v>
      </c>
    </row>
    <row r="11" spans="1:9" x14ac:dyDescent="0.25">
      <c r="A11" s="27"/>
      <c r="B11" s="27" t="s">
        <v>47</v>
      </c>
      <c r="C11" s="27" t="s">
        <v>48</v>
      </c>
      <c r="D11" s="27" t="s">
        <v>49</v>
      </c>
      <c r="E11" s="27" t="s">
        <v>50</v>
      </c>
      <c r="F11" s="27" t="s">
        <v>51</v>
      </c>
    </row>
    <row r="12" spans="1:9" x14ac:dyDescent="0.25">
      <c r="A12" s="25" t="s">
        <v>43</v>
      </c>
      <c r="B12" s="25">
        <v>4</v>
      </c>
      <c r="C12" s="25">
        <v>16104.407582088723</v>
      </c>
      <c r="D12" s="25">
        <v>4026.1018955221807</v>
      </c>
      <c r="E12" s="25">
        <v>1.4372229849177622</v>
      </c>
      <c r="F12" s="25">
        <v>0.22313875901644609</v>
      </c>
    </row>
    <row r="13" spans="1:9" x14ac:dyDescent="0.25">
      <c r="A13" s="25" t="s">
        <v>44</v>
      </c>
      <c r="B13" s="25">
        <v>195</v>
      </c>
      <c r="C13" s="25">
        <v>546254.74116791144</v>
      </c>
      <c r="D13" s="25">
        <v>2801.3063649636483</v>
      </c>
      <c r="E13" s="25"/>
      <c r="F13" s="25"/>
    </row>
    <row r="14" spans="1:9" ht="16.5" thickBot="1" x14ac:dyDescent="0.3">
      <c r="A14" s="26" t="s">
        <v>45</v>
      </c>
      <c r="B14" s="26">
        <v>199</v>
      </c>
      <c r="C14" s="26">
        <v>562359.14875000017</v>
      </c>
      <c r="D14" s="26"/>
      <c r="E14" s="26"/>
      <c r="F14" s="26"/>
    </row>
    <row r="15" spans="1:9" ht="16.5" thickBot="1" x14ac:dyDescent="0.3"/>
    <row r="16" spans="1:9" x14ac:dyDescent="0.25">
      <c r="A16" s="27"/>
      <c r="B16" s="27" t="s">
        <v>52</v>
      </c>
      <c r="C16" s="27" t="s">
        <v>40</v>
      </c>
      <c r="D16" s="27" t="s">
        <v>53</v>
      </c>
      <c r="E16" s="27" t="s">
        <v>54</v>
      </c>
      <c r="F16" s="27" t="s">
        <v>55</v>
      </c>
      <c r="G16" s="27" t="s">
        <v>56</v>
      </c>
      <c r="H16" s="27" t="s">
        <v>57</v>
      </c>
      <c r="I16" s="27" t="s">
        <v>58</v>
      </c>
    </row>
    <row r="17" spans="1:12" x14ac:dyDescent="0.25">
      <c r="A17" s="25" t="s">
        <v>46</v>
      </c>
      <c r="B17" s="25">
        <v>170.84669301179218</v>
      </c>
      <c r="C17" s="25">
        <v>11.336305961128618</v>
      </c>
      <c r="D17" s="25">
        <v>15.070755288152355</v>
      </c>
      <c r="E17" s="25">
        <v>1.5370313219879537E-34</v>
      </c>
      <c r="F17" s="25">
        <v>148.48918446883567</v>
      </c>
      <c r="G17" s="25">
        <v>193.20420155474869</v>
      </c>
      <c r="H17" s="25">
        <v>148.48918446883567</v>
      </c>
      <c r="I17" s="25">
        <v>193.20420155474869</v>
      </c>
    </row>
    <row r="18" spans="1:12" x14ac:dyDescent="0.25">
      <c r="A18" s="25" t="s">
        <v>2</v>
      </c>
      <c r="B18" s="25">
        <v>8.529860944976872E-2</v>
      </c>
      <c r="C18" s="25">
        <v>0.19429462638474115</v>
      </c>
      <c r="D18" s="25">
        <v>0.43901682221957533</v>
      </c>
      <c r="E18" s="25">
        <v>0.66113540758576073</v>
      </c>
      <c r="F18" s="25">
        <v>-0.2978900398459069</v>
      </c>
      <c r="G18" s="25">
        <v>0.46848725874544428</v>
      </c>
      <c r="H18" s="25">
        <v>-0.2978900398459069</v>
      </c>
      <c r="I18" s="25">
        <v>0.46848725874544428</v>
      </c>
    </row>
    <row r="19" spans="1:12" x14ac:dyDescent="0.25">
      <c r="A19" s="25" t="s">
        <v>3</v>
      </c>
      <c r="B19" s="25">
        <v>-0.15621693693782845</v>
      </c>
      <c r="C19" s="25">
        <v>0.29350379088556722</v>
      </c>
      <c r="D19" s="25">
        <v>-0.53224844717162489</v>
      </c>
      <c r="E19" s="25">
        <v>0.59515984822990142</v>
      </c>
      <c r="F19" s="25">
        <v>-0.73506630238499093</v>
      </c>
      <c r="G19" s="25">
        <v>0.42263242850933402</v>
      </c>
      <c r="H19" s="25">
        <v>-0.73506630238499093</v>
      </c>
      <c r="I19" s="25">
        <v>0.42263242850933402</v>
      </c>
    </row>
    <row r="20" spans="1:12" x14ac:dyDescent="0.25">
      <c r="A20" s="25" t="s">
        <v>4</v>
      </c>
      <c r="B20" s="25">
        <v>-0.36304822672875242</v>
      </c>
      <c r="C20" s="25">
        <v>0.2186178343650306</v>
      </c>
      <c r="D20" s="25">
        <v>-1.6606523789937626</v>
      </c>
      <c r="E20" s="25">
        <v>9.8390342638493514E-2</v>
      </c>
      <c r="F20" s="25">
        <v>-0.79420720534299982</v>
      </c>
      <c r="G20" s="25">
        <v>6.8110751885495036E-2</v>
      </c>
      <c r="H20" s="25">
        <v>-0.79420720534299982</v>
      </c>
      <c r="I20" s="25">
        <v>6.8110751885495036E-2</v>
      </c>
    </row>
    <row r="21" spans="1:12" ht="16.5" thickBot="1" x14ac:dyDescent="0.3">
      <c r="A21" s="26" t="s">
        <v>16</v>
      </c>
      <c r="B21" s="26">
        <v>-0.43483240072987217</v>
      </c>
      <c r="C21" s="26">
        <v>0.49247109270771983</v>
      </c>
      <c r="D21" s="26">
        <v>-0.88296025323854688</v>
      </c>
      <c r="E21" s="26">
        <v>0.37834495604721707</v>
      </c>
      <c r="F21" s="26">
        <v>-1.4060858849006357</v>
      </c>
      <c r="G21" s="26">
        <v>0.53642108344089134</v>
      </c>
      <c r="H21" s="26">
        <v>-1.4060858849006357</v>
      </c>
      <c r="I21" s="26">
        <v>0.53642108344089134</v>
      </c>
    </row>
    <row r="25" spans="1:12" x14ac:dyDescent="0.25">
      <c r="B25" t="s">
        <v>59</v>
      </c>
      <c r="H25" s="2" t="s">
        <v>2</v>
      </c>
      <c r="I25" s="2" t="s">
        <v>3</v>
      </c>
      <c r="J25" s="2" t="s">
        <v>4</v>
      </c>
      <c r="K25" s="2" t="s">
        <v>16</v>
      </c>
      <c r="L25" s="3" t="s">
        <v>5</v>
      </c>
    </row>
    <row r="26" spans="1:12" x14ac:dyDescent="0.25">
      <c r="D26" s="34" t="s">
        <v>62</v>
      </c>
      <c r="G26" t="s">
        <v>25</v>
      </c>
      <c r="H26">
        <v>0.39040997791206128</v>
      </c>
      <c r="I26">
        <v>0.29037493529599767</v>
      </c>
      <c r="J26">
        <v>0.23641324674653938</v>
      </c>
      <c r="K26">
        <v>0.15859336275284827</v>
      </c>
      <c r="L26">
        <v>1</v>
      </c>
    </row>
    <row r="27" spans="1:12" x14ac:dyDescent="0.25">
      <c r="D27" s="33">
        <v>100</v>
      </c>
    </row>
    <row r="28" spans="1:12" x14ac:dyDescent="0.25">
      <c r="B28" s="25" t="s">
        <v>46</v>
      </c>
      <c r="C28" s="25">
        <v>170.84669301179218</v>
      </c>
      <c r="D28" s="33"/>
    </row>
    <row r="29" spans="1:12" x14ac:dyDescent="0.25">
      <c r="B29" s="25" t="s">
        <v>2</v>
      </c>
      <c r="C29" s="25">
        <v>8.529860944976872E-2</v>
      </c>
      <c r="D29" s="33">
        <v>40</v>
      </c>
      <c r="G29" t="s">
        <v>61</v>
      </c>
    </row>
    <row r="30" spans="1:12" x14ac:dyDescent="0.25">
      <c r="B30" s="25" t="s">
        <v>3</v>
      </c>
      <c r="C30" s="25">
        <v>-0.15621693693782845</v>
      </c>
      <c r="D30" s="33">
        <v>30</v>
      </c>
    </row>
    <row r="31" spans="1:12" x14ac:dyDescent="0.25">
      <c r="B31" s="25" t="s">
        <v>4</v>
      </c>
      <c r="C31" s="25">
        <v>-0.36304822672875242</v>
      </c>
      <c r="D31" s="33">
        <v>25</v>
      </c>
    </row>
    <row r="32" spans="1:12" ht="16.5" thickBot="1" x14ac:dyDescent="0.3">
      <c r="B32" s="26" t="s">
        <v>16</v>
      </c>
      <c r="C32" s="26">
        <v>-0.43483240072987217</v>
      </c>
      <c r="D32" s="33">
        <v>15</v>
      </c>
    </row>
    <row r="33" spans="4:5" x14ac:dyDescent="0.25">
      <c r="D33" s="33">
        <f>C28+C29*D29+C30*D30+C31*D31+C32*D32</f>
        <v>153.97343760248117</v>
      </c>
      <c r="E33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25E5-93CD-8648-A524-82ED5AA780FF}">
  <dimension ref="A1:R16"/>
  <sheetViews>
    <sheetView tabSelected="1" zoomScale="140" zoomScaleNormal="140" workbookViewId="0">
      <selection activeCell="E20" sqref="E20"/>
    </sheetView>
  </sheetViews>
  <sheetFormatPr defaultColWidth="11" defaultRowHeight="15.75" x14ac:dyDescent="0.25"/>
  <cols>
    <col min="1" max="1" width="16.375" bestFit="1" customWidth="1"/>
    <col min="4" max="4" width="19.75" customWidth="1"/>
  </cols>
  <sheetData>
    <row r="1" spans="1:18" x14ac:dyDescent="0.25">
      <c r="B1" s="8" t="s">
        <v>11</v>
      </c>
      <c r="C1" s="8" t="s">
        <v>64</v>
      </c>
      <c r="E1" s="29" t="s">
        <v>13</v>
      </c>
      <c r="F1" s="29"/>
      <c r="G1" s="29"/>
      <c r="H1" s="29"/>
      <c r="J1" s="29" t="s">
        <v>10</v>
      </c>
      <c r="K1" s="29"/>
      <c r="L1" s="29"/>
      <c r="M1" s="29"/>
      <c r="O1" s="29" t="s">
        <v>14</v>
      </c>
      <c r="P1" s="29"/>
      <c r="Q1" s="29"/>
      <c r="R1" s="29"/>
    </row>
    <row r="2" spans="1:18" x14ac:dyDescent="0.25">
      <c r="A2" t="s">
        <v>6</v>
      </c>
      <c r="B2">
        <v>1000</v>
      </c>
      <c r="C2" s="37">
        <f>$D$2/B2</f>
        <v>1</v>
      </c>
      <c r="D2">
        <v>1000</v>
      </c>
      <c r="E2" s="29"/>
      <c r="F2" s="29"/>
      <c r="G2" s="29"/>
      <c r="H2" s="29"/>
      <c r="J2" s="29"/>
      <c r="K2" s="29"/>
      <c r="L2" s="29"/>
      <c r="M2" s="29"/>
      <c r="O2" s="29"/>
      <c r="P2" s="29"/>
      <c r="Q2" s="29"/>
      <c r="R2" s="29"/>
    </row>
    <row r="3" spans="1:18" ht="15.95" customHeight="1" x14ac:dyDescent="0.25">
      <c r="A3" t="s">
        <v>7</v>
      </c>
      <c r="B3">
        <v>300</v>
      </c>
      <c r="C3" s="38">
        <f t="shared" ref="C3:C5" si="0">$D$2/B3</f>
        <v>3.3333333333333335</v>
      </c>
      <c r="F3" s="10"/>
      <c r="G3" s="10"/>
      <c r="H3" s="10"/>
      <c r="K3" s="10"/>
      <c r="L3" s="10"/>
      <c r="M3" s="10"/>
      <c r="P3" s="10"/>
      <c r="Q3" s="10"/>
      <c r="R3" s="10"/>
    </row>
    <row r="4" spans="1:18" ht="15.95" customHeight="1" x14ac:dyDescent="0.25">
      <c r="A4" t="s">
        <v>8</v>
      </c>
      <c r="B4">
        <v>240</v>
      </c>
      <c r="C4" s="38">
        <f t="shared" si="0"/>
        <v>4.166666666666667</v>
      </c>
      <c r="E4" s="31" t="s">
        <v>12</v>
      </c>
      <c r="F4" s="31"/>
      <c r="G4" s="31"/>
      <c r="H4" s="31"/>
      <c r="J4" s="32">
        <v>0.42</v>
      </c>
      <c r="K4" s="31"/>
      <c r="L4" s="31"/>
      <c r="M4" s="31"/>
      <c r="O4" s="30" t="s">
        <v>15</v>
      </c>
      <c r="P4" s="30"/>
      <c r="Q4" s="30"/>
      <c r="R4" s="30"/>
    </row>
    <row r="5" spans="1:18" ht="15.95" customHeight="1" x14ac:dyDescent="0.25">
      <c r="A5" t="s">
        <v>9</v>
      </c>
      <c r="B5">
        <v>16</v>
      </c>
      <c r="C5" s="37">
        <f t="shared" si="0"/>
        <v>62.5</v>
      </c>
      <c r="D5" s="8" t="s">
        <v>69</v>
      </c>
      <c r="E5" s="31"/>
      <c r="F5" s="31"/>
      <c r="G5" s="31"/>
      <c r="H5" s="31"/>
      <c r="J5" s="31"/>
      <c r="K5" s="31"/>
      <c r="L5" s="31"/>
      <c r="M5" s="31"/>
      <c r="O5" s="30"/>
      <c r="P5" s="30"/>
      <c r="Q5" s="30"/>
      <c r="R5" s="30"/>
    </row>
    <row r="6" spans="1:18" ht="15.95" customHeight="1" x14ac:dyDescent="0.25">
      <c r="A6" t="s">
        <v>10</v>
      </c>
      <c r="E6" s="31"/>
      <c r="F6" s="31"/>
      <c r="G6" s="31"/>
      <c r="H6" s="31"/>
      <c r="J6" s="31"/>
      <c r="K6" s="31"/>
      <c r="L6" s="31"/>
      <c r="M6" s="31"/>
      <c r="O6" s="30"/>
      <c r="P6" s="30"/>
      <c r="Q6" s="30"/>
      <c r="R6" s="30"/>
    </row>
    <row r="7" spans="1:18" ht="15.95" customHeight="1" x14ac:dyDescent="0.25">
      <c r="E7" s="31"/>
      <c r="F7" s="31"/>
      <c r="G7" s="31"/>
      <c r="H7" s="31"/>
      <c r="J7" s="31"/>
      <c r="K7" s="31"/>
      <c r="L7" s="31"/>
      <c r="M7" s="31"/>
      <c r="O7" s="30"/>
      <c r="P7" s="30"/>
      <c r="Q7" s="30"/>
      <c r="R7" s="30"/>
    </row>
    <row r="8" spans="1:18" ht="15.95" customHeight="1" x14ac:dyDescent="0.25">
      <c r="E8" s="31"/>
      <c r="F8" s="31"/>
      <c r="G8" s="31"/>
      <c r="H8" s="31"/>
      <c r="J8" s="31"/>
      <c r="K8" s="31"/>
      <c r="L8" s="31"/>
      <c r="M8" s="31"/>
      <c r="O8" s="30"/>
      <c r="P8" s="30"/>
      <c r="Q8" s="30"/>
      <c r="R8" s="30"/>
    </row>
    <row r="10" spans="1:18" ht="15.95" customHeight="1" x14ac:dyDescent="0.25">
      <c r="E10" s="9"/>
      <c r="F10" s="10"/>
      <c r="G10" s="10"/>
      <c r="H10" s="10"/>
    </row>
    <row r="11" spans="1:18" ht="15.95" customHeight="1" x14ac:dyDescent="0.25">
      <c r="A11" t="s">
        <v>63</v>
      </c>
      <c r="B11" s="35">
        <f>1-J4</f>
        <v>0.58000000000000007</v>
      </c>
      <c r="E11" s="10"/>
      <c r="F11" s="10"/>
      <c r="G11" s="10"/>
      <c r="H11" s="10"/>
    </row>
    <row r="12" spans="1:18" ht="15.95" customHeight="1" x14ac:dyDescent="0.25">
      <c r="A12" t="s">
        <v>65</v>
      </c>
      <c r="B12" s="12">
        <f>1/B11</f>
        <v>1.7241379310344827</v>
      </c>
      <c r="D12" s="8" t="s">
        <v>70</v>
      </c>
      <c r="E12" s="37">
        <v>310.34482758620692</v>
      </c>
      <c r="F12" s="10"/>
      <c r="G12" s="10"/>
      <c r="H12" s="10"/>
    </row>
    <row r="13" spans="1:18" ht="15.95" customHeight="1" x14ac:dyDescent="0.25">
      <c r="A13" t="s">
        <v>66</v>
      </c>
      <c r="B13" s="12">
        <f>B12*12</f>
        <v>20.689655172413794</v>
      </c>
      <c r="D13" s="8" t="s">
        <v>69</v>
      </c>
      <c r="E13" s="37">
        <v>62.5</v>
      </c>
      <c r="F13" s="10"/>
      <c r="G13" s="10"/>
      <c r="H13" s="10"/>
    </row>
    <row r="14" spans="1:18" ht="15.95" customHeight="1" x14ac:dyDescent="0.25">
      <c r="A14" t="s">
        <v>67</v>
      </c>
      <c r="B14" s="36">
        <v>15</v>
      </c>
      <c r="E14" s="10"/>
      <c r="F14" s="10"/>
      <c r="G14" s="10"/>
      <c r="H14" s="10"/>
    </row>
    <row r="15" spans="1:18" ht="15.95" customHeight="1" x14ac:dyDescent="0.25">
      <c r="A15" s="8" t="s">
        <v>68</v>
      </c>
      <c r="B15" s="37">
        <f>B13*B14</f>
        <v>310.34482758620692</v>
      </c>
      <c r="E15" s="10">
        <f>E12/E13</f>
        <v>4.9655172413793105</v>
      </c>
      <c r="F15" s="10"/>
      <c r="G15" s="10"/>
      <c r="H15" s="10"/>
    </row>
    <row r="16" spans="1:18" x14ac:dyDescent="0.25">
      <c r="D16" s="8" t="s">
        <v>72</v>
      </c>
      <c r="E16" t="str">
        <f>IF(E15&gt;3,"Feasible","Not Feasible")</f>
        <v>Feasible</v>
      </c>
      <c r="F16" s="8" t="s">
        <v>71</v>
      </c>
    </row>
  </sheetData>
  <mergeCells count="6">
    <mergeCell ref="O1:R2"/>
    <mergeCell ref="O4:R8"/>
    <mergeCell ref="E4:H8"/>
    <mergeCell ref="E1:H2"/>
    <mergeCell ref="J1:M2"/>
    <mergeCell ref="J4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missing values</vt:lpstr>
      <vt:lpstr>Sheet1</vt:lpstr>
      <vt:lpstr>outlliers</vt:lpstr>
      <vt:lpstr>ÖDEV</vt:lpstr>
      <vt:lpstr>REGRESSION</vt:lpstr>
      <vt:lpstr>CLTV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Merve Yüzlek</cp:lastModifiedBy>
  <dcterms:created xsi:type="dcterms:W3CDTF">2020-10-13T01:54:16Z</dcterms:created>
  <dcterms:modified xsi:type="dcterms:W3CDTF">2025-05-20T09:34:33Z</dcterms:modified>
</cp:coreProperties>
</file>